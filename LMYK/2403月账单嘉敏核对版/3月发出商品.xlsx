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汇总" sheetId="5" r:id="rId1"/>
    <sheet name="12月发出商品明细" sheetId="4" state="hidden" r:id="rId2"/>
    <sheet name="1月 京东旗舰店明细" sheetId="7" r:id="rId3"/>
    <sheet name="1月 京东自营店明细" sheetId="6" r:id="rId4"/>
    <sheet name="pop仓运费" sheetId="8" state="hidden" r:id="rId5"/>
    <sheet name="12月京东自营店明细" sheetId="2" state="hidden" r:id="rId6"/>
    <sheet name="12月京东旗舰店明细" sheetId="3" state="hidden" r:id="rId7"/>
    <sheet name="11月京东自营库存" sheetId="1" state="hidden" r:id="rId8"/>
  </sheets>
  <definedNames>
    <definedName name="_xlnm._FilterDatabase" localSheetId="0" hidden="1">汇总!$A$1:$S$103</definedName>
    <definedName name="_xlnm._FilterDatabase" localSheetId="1" hidden="1">'12月发出商品明细'!$A$1:$BX$27</definedName>
    <definedName name="_xlnm._FilterDatabase" localSheetId="2" hidden="1">'1月 京东旗舰店明细'!$B$1:$BX$30</definedName>
    <definedName name="_xlnm._FilterDatabase" localSheetId="3" hidden="1">'1月 京东自营店明细'!$A$1:$BV$86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Q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未出库数量960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未出库480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未出库48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未出库48</t>
        </r>
      </text>
    </comment>
    <comment ref="Q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还有37未出库</t>
        </r>
      </text>
    </comment>
  </commentList>
</comments>
</file>

<file path=xl/sharedStrings.xml><?xml version="1.0" encoding="utf-8"?>
<sst xmlns="http://schemas.openxmlformats.org/spreadsheetml/2006/main" count="2940" uniqueCount="319">
  <si>
    <t>发货时间</t>
  </si>
  <si>
    <t>确认出库时间</t>
  </si>
  <si>
    <t>客户名称</t>
  </si>
  <si>
    <t>物料编码</t>
  </si>
  <si>
    <t>物料名称</t>
  </si>
  <si>
    <t>数量</t>
  </si>
  <si>
    <t>销售成本-不含税</t>
  </si>
  <si>
    <t>税额</t>
  </si>
  <si>
    <t>销售成本-含税</t>
  </si>
  <si>
    <t>东莞成本含税</t>
  </si>
  <si>
    <t>东莞成本不含税</t>
  </si>
  <si>
    <t>料</t>
  </si>
  <si>
    <t>工</t>
  </si>
  <si>
    <t>费</t>
  </si>
  <si>
    <t>入账运费（含税）</t>
  </si>
  <si>
    <t>不含税运费</t>
  </si>
  <si>
    <t>运费入账月份</t>
  </si>
  <si>
    <t>11月</t>
  </si>
  <si>
    <t>12月</t>
  </si>
  <si>
    <t>京东入仓-sz</t>
  </si>
  <si>
    <t>228NHSDJGQKL</t>
  </si>
  <si>
    <t>圣诞坚果巧克力礼盒228克二十枚(盲盒)</t>
  </si>
  <si>
    <t>216NHXHYJGQKL</t>
  </si>
  <si>
    <t>小黄鸭坚果巧克力礼盒216克二十枚(盲盒)</t>
  </si>
  <si>
    <t>MSWBQL75G</t>
  </si>
  <si>
    <t>猫山王榴莲冰淇淋(杯)</t>
  </si>
  <si>
    <t>京东pop仓-sz</t>
  </si>
  <si>
    <t>1月</t>
  </si>
  <si>
    <t>280FXLHMH</t>
  </si>
  <si>
    <t>福星礼盒280克二十枚(盲盒)</t>
  </si>
  <si>
    <t>280NHBFLH</t>
  </si>
  <si>
    <t>暴富礼盒280克二十枚(盲盒)</t>
  </si>
  <si>
    <t>240FXLLJG</t>
  </si>
  <si>
    <t>福星榴莲坚果礼盒240克二十枚</t>
  </si>
  <si>
    <t>240NHBFLLJG</t>
  </si>
  <si>
    <t>暴富榴莲坚果礼盒240克二十枚</t>
  </si>
  <si>
    <t>未出库</t>
  </si>
  <si>
    <t>96NHBFLLJGLH</t>
  </si>
  <si>
    <t>暴富榴莲坚果礼盒96克八枚</t>
  </si>
  <si>
    <t>JD280NHBFLH</t>
  </si>
  <si>
    <t>暴富礼盒267克二十枚(盲盒)-京东贴码</t>
  </si>
  <si>
    <t>MSWBQL70G</t>
  </si>
  <si>
    <t>猫山王榴莲冰淇淋(条)</t>
  </si>
  <si>
    <t>2月</t>
  </si>
  <si>
    <t>3月</t>
  </si>
  <si>
    <t>70GMSWLLBQL</t>
  </si>
  <si>
    <t>70g猫山王榴莲冰淇淋(条)</t>
  </si>
  <si>
    <t>75GMSWLLBQL</t>
  </si>
  <si>
    <t>75g猫山王榴莲冰淇淋(杯)</t>
  </si>
  <si>
    <t>2月出库</t>
  </si>
  <si>
    <t>盒马总店-sz</t>
  </si>
  <si>
    <t>HMFXLH292G</t>
  </si>
  <si>
    <t>福星礼盒二十枚292g(盒马)</t>
  </si>
  <si>
    <t>2月单品</t>
  </si>
  <si>
    <t>美团买菜-sz</t>
  </si>
  <si>
    <t>XX216BFQKLMH</t>
  </si>
  <si>
    <t>暴富年货盲盒十八枚</t>
  </si>
  <si>
    <t>XX72DJLLJGLM</t>
  </si>
  <si>
    <t>大吉纯榴莲礼盒六枚</t>
  </si>
  <si>
    <t>朴朴超市</t>
  </si>
  <si>
    <t>XX216DJLLJG</t>
  </si>
  <si>
    <t>大吉纯榴莲礼盒十八枚</t>
  </si>
  <si>
    <t>100GQTGDZHZ</t>
  </si>
  <si>
    <t>常温青团糕点组合装100克</t>
  </si>
  <si>
    <t>100KLLQTPP</t>
  </si>
  <si>
    <t>榴莲青团泡泡100克(50g*2)</t>
  </si>
  <si>
    <t>XXYRKKDH</t>
  </si>
  <si>
    <t>沃-椰蓉榴莲烤烤(单盒装)</t>
  </si>
  <si>
    <t>LLQTGD100G</t>
  </si>
  <si>
    <t>榴莲青团糕点100g</t>
  </si>
  <si>
    <t>2月未出库</t>
  </si>
  <si>
    <t>llqtpp</t>
  </si>
  <si>
    <t>榴莲青团泡泡</t>
  </si>
  <si>
    <t>12HYXMSWBQLBZ</t>
  </si>
  <si>
    <t>猫山王榴莲冰淇淋杯装(12盒/箱)</t>
  </si>
  <si>
    <t>MSWBQLBZ225G</t>
  </si>
  <si>
    <t>猫山王榴莲冰淇淋杯装(3杯/盒)</t>
  </si>
  <si>
    <t>12HYXMSWLLBQL</t>
  </si>
  <si>
    <t>猫山王榴莲冰淇淋条装(12盒/箱)</t>
  </si>
  <si>
    <t>MSWBQL280G</t>
  </si>
  <si>
    <t>猫山王榴莲冰淇淋条装(4条/盒)</t>
  </si>
  <si>
    <t>模块</t>
  </si>
  <si>
    <t>单据编号</t>
  </si>
  <si>
    <t>网店订单号</t>
  </si>
  <si>
    <t>运输单号</t>
  </si>
  <si>
    <t>发货组织</t>
  </si>
  <si>
    <t>管理报表渠道</t>
  </si>
  <si>
    <t>产品编码</t>
  </si>
  <si>
    <t>产品名称</t>
  </si>
  <si>
    <t>分类</t>
  </si>
  <si>
    <t>实发数量</t>
  </si>
  <si>
    <t>箱装系数</t>
  </si>
  <si>
    <t>订单/报价收入</t>
  </si>
  <si>
    <t>换购金额</t>
  </si>
  <si>
    <t>种菜金额</t>
  </si>
  <si>
    <t>平台补贴预估金额</t>
  </si>
  <si>
    <t>平台补贴实际金额</t>
  </si>
  <si>
    <t>平台补贴差异</t>
  </si>
  <si>
    <t>账单/核对收入</t>
  </si>
  <si>
    <t>退款</t>
  </si>
  <si>
    <t>对账差异</t>
  </si>
  <si>
    <t>单品差异备注</t>
  </si>
  <si>
    <t>账单(滚动)/核对收入</t>
  </si>
  <si>
    <t>滚动退款</t>
  </si>
  <si>
    <t>滚动差异</t>
  </si>
  <si>
    <t>总成本不含税</t>
  </si>
  <si>
    <t>总税额</t>
  </si>
  <si>
    <t>总成本含税</t>
  </si>
  <si>
    <t>成本税额</t>
  </si>
  <si>
    <t>调整金额-含税</t>
  </si>
  <si>
    <t>预估含税运费</t>
  </si>
  <si>
    <t>预估不含税运费</t>
  </si>
  <si>
    <t>预估运费税额</t>
  </si>
  <si>
    <t>含税运费未核对</t>
  </si>
  <si>
    <t>不含税运费未核对</t>
  </si>
  <si>
    <t>未核对运费税额</t>
  </si>
  <si>
    <t>含税运费已核对</t>
  </si>
  <si>
    <t>不含税运费已核对</t>
  </si>
  <si>
    <t>已核对运费税额</t>
  </si>
  <si>
    <t>未核对与预估差额含税</t>
  </si>
  <si>
    <t>未核对与预估差额不含税</t>
  </si>
  <si>
    <t>未核对与预估税额差额</t>
  </si>
  <si>
    <t>已核对与预估差额含税</t>
  </si>
  <si>
    <t>已核对与预估差额不含税</t>
  </si>
  <si>
    <t>已核对与预估税额差额</t>
  </si>
  <si>
    <t>已核对与未核对差额含税</t>
  </si>
  <si>
    <t>已核对与未核对差额不含税</t>
  </si>
  <si>
    <t>已核对与未核对税额差额</t>
  </si>
  <si>
    <t>订单状态</t>
  </si>
  <si>
    <t>订单类型</t>
  </si>
  <si>
    <t>账期状态</t>
  </si>
  <si>
    <t>跨月账期</t>
  </si>
  <si>
    <t>渠道组</t>
  </si>
  <si>
    <t>季节性产品分类</t>
  </si>
  <si>
    <t>归属渠道</t>
  </si>
  <si>
    <t>东莞单价</t>
  </si>
  <si>
    <t>发货年月</t>
  </si>
  <si>
    <t>动账年月</t>
  </si>
  <si>
    <t>跨月动账年月</t>
  </si>
  <si>
    <t>区域/组别</t>
  </si>
  <si>
    <t>销售人员</t>
  </si>
  <si>
    <t>税率</t>
  </si>
  <si>
    <t>款项类型</t>
  </si>
  <si>
    <t>发货日期</t>
  </si>
  <si>
    <t>口味</t>
  </si>
  <si>
    <t>规格</t>
  </si>
  <si>
    <t>单位</t>
  </si>
  <si>
    <t>收入</t>
  </si>
  <si>
    <t>账期</t>
  </si>
  <si>
    <t>状态</t>
  </si>
  <si>
    <t>自营</t>
  </si>
  <si>
    <t>LMYK202312215365</t>
  </si>
  <si>
    <t>深圳榴芒</t>
  </si>
  <si>
    <t>年货常温干货</t>
  </si>
  <si>
    <t>代发货(来自分销商)</t>
  </si>
  <si>
    <t>202312发货</t>
  </si>
  <si>
    <t>京多事业部</t>
  </si>
  <si>
    <t>年货</t>
  </si>
  <si>
    <t>202312</t>
  </si>
  <si>
    <t>20231230</t>
  </si>
  <si>
    <t>267g</t>
  </si>
  <si>
    <t>盒</t>
  </si>
  <si>
    <t>未出库未结账</t>
  </si>
  <si>
    <t>LMYK202312215344</t>
  </si>
  <si>
    <t>20231227</t>
  </si>
  <si>
    <t>228g</t>
  </si>
  <si>
    <t>240g</t>
  </si>
  <si>
    <t>求和项:调整金额-含税</t>
  </si>
  <si>
    <t>求和项:总成本不含税</t>
  </si>
  <si>
    <t>求和项:总税额</t>
  </si>
  <si>
    <t>求和项:总成本含税</t>
  </si>
  <si>
    <t>总计</t>
  </si>
  <si>
    <t>求和项:总成本不含税2</t>
  </si>
  <si>
    <t>求和项:成本税额</t>
  </si>
  <si>
    <t>求和项:总成本含税2</t>
  </si>
  <si>
    <t>-</t>
  </si>
  <si>
    <t>原单品表</t>
  </si>
  <si>
    <t>序号</t>
  </si>
  <si>
    <t>实发数量-更改</t>
  </si>
  <si>
    <t>LMYK202401200934</t>
  </si>
  <si>
    <t>202401发货</t>
  </si>
  <si>
    <t>202401</t>
  </si>
  <si>
    <t>20240120</t>
  </si>
  <si>
    <t>LMYK202401134505</t>
  </si>
  <si>
    <t>20240116</t>
  </si>
  <si>
    <t>发出商品</t>
  </si>
  <si>
    <t>已出库</t>
  </si>
  <si>
    <t>1月发货1月结账</t>
  </si>
  <si>
    <t>已结</t>
  </si>
  <si>
    <t>12月发出商品1月出库</t>
  </si>
  <si>
    <t>12月发货1月结账</t>
  </si>
  <si>
    <t>求和项:实发数量</t>
  </si>
  <si>
    <t>求和项:东莞成本含税</t>
  </si>
  <si>
    <t>求和项:东莞成本不含税</t>
  </si>
  <si>
    <t>求和项:料</t>
  </si>
  <si>
    <t>求和项:工</t>
  </si>
  <si>
    <t>求和项:费</t>
  </si>
  <si>
    <t>收入（入账）</t>
  </si>
  <si>
    <t>账期（入账）</t>
  </si>
  <si>
    <t>LMYK202401221543</t>
  </si>
  <si>
    <t>20240122</t>
  </si>
  <si>
    <t>1月京仓发货1月结账</t>
  </si>
  <si>
    <t>1月出库-京东入仓</t>
  </si>
  <si>
    <t>京东入仓发出商品</t>
  </si>
  <si>
    <t>LMYK202401230894</t>
  </si>
  <si>
    <t>20240123</t>
  </si>
  <si>
    <t>已做退货</t>
  </si>
  <si>
    <t>LMYK202401230895</t>
  </si>
  <si>
    <t>20240124</t>
  </si>
  <si>
    <t>LMYK202401080674</t>
  </si>
  <si>
    <t>SF1669175162259</t>
  </si>
  <si>
    <t>冰淇淋</t>
  </si>
  <si>
    <t>其他</t>
  </si>
  <si>
    <t>20240108</t>
  </si>
  <si>
    <t>猫山王</t>
  </si>
  <si>
    <t>75g*1盒</t>
  </si>
  <si>
    <t>Pcs</t>
  </si>
  <si>
    <t>LMYK202401080675</t>
  </si>
  <si>
    <t>SF1669175162859</t>
  </si>
  <si>
    <t>LMYK202401080676</t>
  </si>
  <si>
    <t>JDVC22572641668</t>
  </si>
  <si>
    <t>LMYK202401080677</t>
  </si>
  <si>
    <t>JDVC22572565365</t>
  </si>
  <si>
    <t>LMYK202401080678</t>
  </si>
  <si>
    <t>SF1631373171983</t>
  </si>
  <si>
    <t>LMYK202401080679</t>
  </si>
  <si>
    <t>SF1642786514217</t>
  </si>
  <si>
    <t>LMYK202401080680</t>
  </si>
  <si>
    <t>SF1620134618562</t>
  </si>
  <si>
    <t>LMYK202401080681</t>
  </si>
  <si>
    <t>SF1384252104810</t>
  </si>
  <si>
    <t>LMYK202401120577</t>
  </si>
  <si>
    <t>20240113</t>
  </si>
  <si>
    <t>LMYK202401140905</t>
  </si>
  <si>
    <t>20240117</t>
  </si>
  <si>
    <t>LMYK202401141712</t>
  </si>
  <si>
    <t>20240114</t>
  </si>
  <si>
    <t>LMYK202401232727</t>
  </si>
  <si>
    <t>SF1640520718295</t>
  </si>
  <si>
    <t>96g</t>
  </si>
  <si>
    <t>LMYK202401272698</t>
  </si>
  <si>
    <t>SF1685355987955</t>
  </si>
  <si>
    <t>20240127</t>
  </si>
  <si>
    <t>70g*1盒</t>
  </si>
  <si>
    <t>LMYK202401272705</t>
  </si>
  <si>
    <t>SF1651414240651</t>
  </si>
  <si>
    <t>LMYK202401272714</t>
  </si>
  <si>
    <t>SF1389463180218</t>
  </si>
  <si>
    <t>LMYK202401273467</t>
  </si>
  <si>
    <t>SF1674503366046</t>
  </si>
  <si>
    <t>LMYK202401273468</t>
  </si>
  <si>
    <t>SF1645569288275</t>
  </si>
  <si>
    <t>LMYK202401273484</t>
  </si>
  <si>
    <t>SF1647649200274</t>
  </si>
  <si>
    <t>LMYK202401273485</t>
  </si>
  <si>
    <t>SF1662186556708</t>
  </si>
  <si>
    <t>LMYK202401273486</t>
  </si>
  <si>
    <t>SF1619218120527</t>
  </si>
  <si>
    <t>LMYK202401273487</t>
  </si>
  <si>
    <t>SF1695933988210</t>
  </si>
  <si>
    <t>LMYK202401273488</t>
  </si>
  <si>
    <t>SF1683354445286</t>
  </si>
  <si>
    <t>LMYK202401273489</t>
  </si>
  <si>
    <t>SF1647649224277</t>
  </si>
  <si>
    <t>LMYK202401273490</t>
  </si>
  <si>
    <t>SF1695935988216</t>
  </si>
  <si>
    <t>LMYK202401273504</t>
  </si>
  <si>
    <t>JDVC22886394725</t>
  </si>
  <si>
    <t>LMYK202401273505</t>
  </si>
  <si>
    <t>JDVC22886394716</t>
  </si>
  <si>
    <t>LMYK202401273569</t>
  </si>
  <si>
    <t>SF1685345924439</t>
  </si>
  <si>
    <t>LMYK202401273570</t>
  </si>
  <si>
    <t>SF1685325924332</t>
  </si>
  <si>
    <t>LMYK202401273571</t>
  </si>
  <si>
    <t>SF1685325924932</t>
  </si>
  <si>
    <t>LMYK202401273572</t>
  </si>
  <si>
    <t>SF1685345924236</t>
  </si>
  <si>
    <t>LMYK202401273573</t>
  </si>
  <si>
    <t>SF1685325924535</t>
  </si>
  <si>
    <t>LMYK202401273574</t>
  </si>
  <si>
    <t>SF1685325924738</t>
  </si>
  <si>
    <t>LMYK202401164729</t>
  </si>
  <si>
    <t>SF1624160155902</t>
  </si>
  <si>
    <t>LMYK202401170950</t>
  </si>
  <si>
    <t>LMYK202401170951</t>
  </si>
  <si>
    <t>20240118</t>
  </si>
  <si>
    <t>管理报表渠道-更改</t>
  </si>
  <si>
    <t>客户名称-更改</t>
  </si>
  <si>
    <t>产品编码-换算</t>
  </si>
  <si>
    <t>产品名称-换算</t>
  </si>
  <si>
    <t>实发数量-换算</t>
  </si>
  <si>
    <t>收入含税</t>
  </si>
  <si>
    <t>收入税额</t>
  </si>
  <si>
    <t>收入不含税</t>
  </si>
  <si>
    <t>运费账单金额</t>
  </si>
  <si>
    <t>运费成本比例</t>
  </si>
  <si>
    <t>运费含税</t>
  </si>
  <si>
    <t>运费不含税</t>
  </si>
  <si>
    <t>运费税额</t>
  </si>
  <si>
    <t>东莞成本税</t>
  </si>
  <si>
    <t>总收入-预收</t>
  </si>
  <si>
    <t>单价</t>
  </si>
  <si>
    <t>20081</t>
  </si>
  <si>
    <t>POP 未出库</t>
  </si>
  <si>
    <t>LMYK202311252006</t>
  </si>
  <si>
    <t>京东自营店</t>
  </si>
  <si>
    <t>京东自营店-sz</t>
  </si>
  <si>
    <t>20082</t>
  </si>
  <si>
    <t>20083</t>
  </si>
  <si>
    <t>LMYK202311231893</t>
  </si>
  <si>
    <t>20084</t>
  </si>
  <si>
    <t>LMYK202311171878</t>
  </si>
  <si>
    <t>20085</t>
  </si>
  <si>
    <t>POP 出库一部分</t>
  </si>
  <si>
    <t>值</t>
  </si>
  <si>
    <t>求和项:总成本不含税汇总</t>
  </si>
  <si>
    <t>求和项:总税额汇总</t>
  </si>
  <si>
    <t>求和项:总成本含税汇总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</si>
</sst>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.00000_ "/>
    <numFmt numFmtId="178" formatCode="#,##0.000000_ "/>
    <numFmt numFmtId="179" formatCode="0.00_);[Red]\(0.00\)"/>
    <numFmt numFmtId="180" formatCode="0.00_);[Red]\(0.00\)"/>
    <numFmt numFmtId="181" formatCode="0.00_);[Red]\(0.00\)"/>
    <numFmt numFmtId="182" formatCode="0.00_);[Red]\(0.00\)"/>
    <numFmt numFmtId="183" formatCode="0.00_);[Red]\(0.00\)"/>
    <numFmt numFmtId="184" formatCode="0.00_);[Red]\(0.00\)"/>
    <numFmt numFmtId="185" formatCode="0.00_);[Red]\(0.00\)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b/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2" fillId="0" borderId="0" xfId="0" applyFont="1" applyFill="1" applyAlignment="1"/>
    <xf numFmtId="176" fontId="3" fillId="0" borderId="0" xfId="0" applyNumberFormat="1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177" fontId="1" fillId="3" borderId="0" xfId="0" applyNumberFormat="1" applyFont="1" applyFill="1" applyAlignment="1">
      <alignment vertical="center"/>
    </xf>
    <xf numFmtId="178" fontId="1" fillId="3" borderId="0" xfId="0" applyNumberFormat="1" applyFont="1" applyFill="1" applyAlignment="1">
      <alignment vertical="center"/>
    </xf>
    <xf numFmtId="176" fontId="1" fillId="4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9" fontId="0" fillId="0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0" fillId="6" borderId="0" xfId="0" applyFill="1">
      <alignment vertical="center"/>
    </xf>
    <xf numFmtId="0" fontId="5" fillId="7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5" fillId="8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4" borderId="0" xfId="0" applyFill="1">
      <alignment vertical="center"/>
    </xf>
    <xf numFmtId="0" fontId="6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7" fillId="0" borderId="0" xfId="0" applyFont="1" applyFill="1" applyBorder="1" applyAlignment="1">
      <alignment vertical="center"/>
    </xf>
    <xf numFmtId="0" fontId="0" fillId="9" borderId="0" xfId="0" applyFill="1" applyBorder="1">
      <alignment vertical="center"/>
    </xf>
    <xf numFmtId="0" fontId="1" fillId="9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0" fillId="9" borderId="0" xfId="0" applyFill="1">
      <alignment vertical="center"/>
    </xf>
    <xf numFmtId="0" fontId="0" fillId="9" borderId="1" xfId="0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9" borderId="0" xfId="0" applyNumberFormat="1" applyFill="1" applyBorder="1">
      <alignment vertical="center"/>
    </xf>
    <xf numFmtId="0" fontId="0" fillId="0" borderId="0" xfId="0" applyFont="1" applyFill="1">
      <alignment vertical="center"/>
    </xf>
    <xf numFmtId="0" fontId="0" fillId="0" borderId="1" xfId="0" applyFont="1" applyFill="1" applyBorder="1">
      <alignment vertical="center"/>
    </xf>
    <xf numFmtId="179" fontId="0" fillId="0" borderId="0" xfId="0" applyNumberFormat="1" applyFill="1" applyBorder="1">
      <alignment vertical="center"/>
    </xf>
    <xf numFmtId="0" fontId="0" fillId="0" borderId="0" xfId="0" applyFont="1">
      <alignment vertical="center"/>
    </xf>
    <xf numFmtId="179" fontId="0" fillId="0" borderId="0" xfId="0" applyNumberFormat="1" applyBorder="1">
      <alignment vertical="center"/>
    </xf>
    <xf numFmtId="176" fontId="0" fillId="0" borderId="0" xfId="0" applyNumberFormat="1" applyFill="1" applyBorder="1">
      <alignment vertical="center"/>
    </xf>
    <xf numFmtId="176" fontId="0" fillId="0" borderId="0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839470</xdr:colOff>
      <xdr:row>32</xdr:row>
      <xdr:rowOff>95885</xdr:rowOff>
    </xdr:from>
    <xdr:to>
      <xdr:col>25</xdr:col>
      <xdr:colOff>333375</xdr:colOff>
      <xdr:row>57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470" y="5582285"/>
          <a:ext cx="13962380" cy="420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123825</xdr:colOff>
      <xdr:row>3</xdr:row>
      <xdr:rowOff>95250</xdr:rowOff>
    </xdr:from>
    <xdr:to>
      <xdr:col>15</xdr:col>
      <xdr:colOff>219075</xdr:colOff>
      <xdr:row>29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8625" y="609600"/>
          <a:ext cx="6267450" cy="4362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19685</xdr:colOff>
      <xdr:row>19</xdr:row>
      <xdr:rowOff>80645</xdr:rowOff>
    </xdr:from>
    <xdr:to>
      <xdr:col>12</xdr:col>
      <xdr:colOff>276860</xdr:colOff>
      <xdr:row>40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8485" y="3433445"/>
          <a:ext cx="15106650" cy="3653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99.3996412037" refreshedBy="admin" recordCount="5">
  <cacheSource type="worksheet">
    <worksheetSource ref="A1:BQ6" sheet="12月京东自营店明细"/>
  </cacheSource>
  <cacheFields count="69">
    <cacheField name="模块" numFmtId="0">
      <sharedItems count="1">
        <s v="自营"/>
      </sharedItems>
    </cacheField>
    <cacheField name="单据编号" numFmtId="0">
      <sharedItems count="1">
        <s v="LMYK202312215344"/>
      </sharedItems>
    </cacheField>
    <cacheField name="网店订单号" numFmtId="0">
      <sharedItems containsString="0" containsBlank="1" containsNonDate="0" count="1">
        <m/>
      </sharedItems>
    </cacheField>
    <cacheField name="运输单号" numFmtId="0">
      <sharedItems count="1">
        <s v="LMYK202312215344"/>
      </sharedItems>
    </cacheField>
    <cacheField name="发货组织" numFmtId="0">
      <sharedItems count="1">
        <s v="深圳榴芒"/>
      </sharedItems>
    </cacheField>
    <cacheField name="管理报表渠道" numFmtId="0">
      <sharedItems count="1">
        <s v="京东入仓-sz"/>
      </sharedItems>
    </cacheField>
    <cacheField name="产品编码" numFmtId="0">
      <sharedItems count="5">
        <s v="216NHXHYJGQKL"/>
        <s v="240FXLLJG"/>
        <s v="240NHBFLLJG"/>
        <s v="280FXLHMH"/>
        <s v="280NHBFLH"/>
      </sharedItems>
    </cacheField>
    <cacheField name="产品名称" numFmtId="0">
      <sharedItems count="5">
        <s v="小黄鸭坚果巧克力礼盒216克二十枚(盲盒)"/>
        <s v="福星榴莲坚果礼盒240克二十枚"/>
        <s v="暴富榴莲坚果礼盒240克二十枚"/>
        <s v="福星礼盒280克二十枚(盲盒)"/>
        <s v="暴富礼盒280克二十枚(盲盒)"/>
      </sharedItems>
    </cacheField>
    <cacheField name="分类" numFmtId="0">
      <sharedItems count="1">
        <s v="年货常温干货"/>
      </sharedItems>
    </cacheField>
    <cacheField name="实发数量" numFmtId="0">
      <sharedItems containsSemiMixedTypes="0" containsString="0" containsNumber="1" containsInteger="1" minValue="0" maxValue="512" count="3">
        <n v="288"/>
        <n v="512"/>
        <n v="504"/>
      </sharedItems>
    </cacheField>
    <cacheField name="箱装系数" numFmtId="0">
      <sharedItems containsSemiMixedTypes="0" containsString="0" containsNumber="1" containsInteger="1" minValue="0" maxValue="1" count="1">
        <n v="1"/>
      </sharedItems>
    </cacheField>
    <cacheField name="订单/报价收入" numFmtId="0">
      <sharedItems containsString="0" containsBlank="1" containsNonDate="0" count="1">
        <m/>
      </sharedItems>
    </cacheField>
    <cacheField name="换购金额" numFmtId="0">
      <sharedItems containsString="0" containsBlank="1" containsNonDate="0" count="1">
        <m/>
      </sharedItems>
    </cacheField>
    <cacheField name="种菜金额" numFmtId="0">
      <sharedItems containsString="0" containsBlank="1" containsNonDate="0" count="1">
        <m/>
      </sharedItems>
    </cacheField>
    <cacheField name="平台补贴预估金额" numFmtId="0">
      <sharedItems containsString="0" containsBlank="1" containsNonDate="0" count="1">
        <m/>
      </sharedItems>
    </cacheField>
    <cacheField name="平台补贴实际金额" numFmtId="0">
      <sharedItems containsString="0" containsBlank="1" containsNonDate="0" count="1">
        <m/>
      </sharedItems>
    </cacheField>
    <cacheField name="平台补贴差异" numFmtId="0">
      <sharedItems containsString="0" containsBlank="1" containsNonDate="0" count="1">
        <m/>
      </sharedItems>
    </cacheField>
    <cacheField name="账单/核对收入" numFmtId="0">
      <sharedItems containsSemiMixedTypes="0" containsString="0" containsNumber="1" containsInteger="1" minValue="0" maxValue="0" count="1">
        <n v="0"/>
      </sharedItems>
    </cacheField>
    <cacheField name="退款" numFmtId="0">
      <sharedItems containsString="0" containsBlank="1" containsNonDate="0" count="1">
        <m/>
      </sharedItems>
    </cacheField>
    <cacheField name="对账差异" numFmtId="0">
      <sharedItems containsString="0" containsBlank="1" containsNonDate="0" count="1">
        <m/>
      </sharedItems>
    </cacheField>
    <cacheField name="单品差异备注" numFmtId="0">
      <sharedItems containsString="0" containsBlank="1" containsNonDate="0" count="1">
        <m/>
      </sharedItems>
    </cacheField>
    <cacheField name="账单(滚动)/核对收入" numFmtId="0">
      <sharedItems containsSemiMixedTypes="0" containsString="0" containsNumber="1" containsInteger="1" minValue="0" maxValue="0" count="1">
        <n v="0"/>
      </sharedItems>
    </cacheField>
    <cacheField name="滚动退款" numFmtId="0">
      <sharedItems containsString="0" containsBlank="1" containsNonDate="0" count="1">
        <m/>
      </sharedItems>
    </cacheField>
    <cacheField name="滚动差异" numFmtId="0">
      <sharedItems containsString="0" containsBlank="1" containsNonDate="0" count="1">
        <m/>
      </sharedItems>
    </cacheField>
    <cacheField name="总成本不含税" numFmtId="0">
      <sharedItems containsSemiMixedTypes="0" containsString="0" containsNumber="1" minValue="0" maxValue="25507.6847717092" count="5">
        <n v="14010.0888637648"/>
        <n v="25006.2983550263"/>
        <n v="25006.2886477904"/>
        <n v="25507.6775787875"/>
        <n v="25507.6847717092"/>
      </sharedItems>
    </cacheField>
    <cacheField name="总税额" numFmtId="0">
      <sharedItems containsSemiMixedTypes="0" containsString="0" containsNumber="1" minValue="0" maxValue="3316.0824212124" count="5">
        <n v="1821.27113623517"/>
        <n v="3250.98164497369"/>
        <n v="3250.99135220958"/>
        <n v="3316.0824212124"/>
        <n v="3316.07522829078"/>
      </sharedItems>
    </cacheField>
    <cacheField name="总成本含税" numFmtId="0">
      <sharedItems containsSemiMixedTypes="0" containsString="0" containsNumber="1" minValue="0" maxValue="28823.76" count="3">
        <n v="15831.36"/>
        <n v="28257.28"/>
        <n v="28823.76"/>
      </sharedItems>
    </cacheField>
    <cacheField name="预估含税运费" numFmtId="0">
      <sharedItems containsString="0" containsBlank="1" containsNonDate="0" count="1">
        <m/>
      </sharedItems>
    </cacheField>
    <cacheField name="预估不含税运费" numFmtId="0">
      <sharedItems containsString="0" containsBlank="1" containsNonDate="0" count="1">
        <m/>
      </sharedItems>
    </cacheField>
    <cacheField name="预估运费税额" numFmtId="0">
      <sharedItems containsString="0" containsBlank="1" containsNonDate="0" count="1">
        <m/>
      </sharedItems>
    </cacheField>
    <cacheField name="含税运费未核对" numFmtId="0">
      <sharedItems containsSemiMixedTypes="0" containsString="0" containsNumber="1" containsInteger="1" minValue="0" maxValue="5" count="1">
        <n v="5"/>
      </sharedItems>
    </cacheField>
    <cacheField name="不含税运费未核对" numFmtId="0">
      <sharedItems containsSemiMixedTypes="0" containsString="0" containsNumber="1" minValue="0" maxValue="4.716981132" count="1">
        <n v="4.716981132"/>
      </sharedItems>
    </cacheField>
    <cacheField name="未核对运费税额" numFmtId="0">
      <sharedItems containsSemiMixedTypes="0" containsString="0" containsNumber="1" minValue="0" maxValue="0.283018868" count="1">
        <n v="0.283018868"/>
      </sharedItems>
    </cacheField>
    <cacheField name="含税运费已核对" numFmtId="0">
      <sharedItems containsString="0" containsBlank="1" containsNonDate="0" count="1">
        <m/>
      </sharedItems>
    </cacheField>
    <cacheField name="不含税运费已核对" numFmtId="0">
      <sharedItems containsString="0" containsBlank="1" containsNonDate="0" count="1">
        <m/>
      </sharedItems>
    </cacheField>
    <cacheField name="已核对运费税额" numFmtId="0">
      <sharedItems containsString="0" containsBlank="1" containsNonDate="0" count="1">
        <m/>
      </sharedItems>
    </cacheField>
    <cacheField name="未核对与预估差额含税" numFmtId="0">
      <sharedItems containsString="0" containsBlank="1" containsNonDate="0" count="1">
        <m/>
      </sharedItems>
    </cacheField>
    <cacheField name="未核对与预估差额不含税" numFmtId="0">
      <sharedItems containsString="0" containsBlank="1" containsNonDate="0" count="1">
        <m/>
      </sharedItems>
    </cacheField>
    <cacheField name="未核对与预估税额差额" numFmtId="0">
      <sharedItems containsString="0" containsBlank="1" containsNonDate="0" count="1">
        <m/>
      </sharedItems>
    </cacheField>
    <cacheField name="已核对与预估差额含税" numFmtId="0">
      <sharedItems containsString="0" containsBlank="1" containsNonDate="0" count="1">
        <m/>
      </sharedItems>
    </cacheField>
    <cacheField name="已核对与预估差额不含税" numFmtId="0">
      <sharedItems containsString="0" containsBlank="1" containsNonDate="0" count="1">
        <m/>
      </sharedItems>
    </cacheField>
    <cacheField name="已核对与预估税额差额" numFmtId="0">
      <sharedItems containsString="0" containsBlank="1" containsNonDate="0" count="1">
        <m/>
      </sharedItems>
    </cacheField>
    <cacheField name="已核对与未核对差额含税" numFmtId="0">
      <sharedItems containsString="0" containsBlank="1" containsNonDate="0" count="1">
        <m/>
      </sharedItems>
    </cacheField>
    <cacheField name="已核对与未核对差额不含税" numFmtId="0">
      <sharedItems containsString="0" containsBlank="1" containsNonDate="0" count="1">
        <m/>
      </sharedItems>
    </cacheField>
    <cacheField name="已核对与未核对税额差额" numFmtId="0">
      <sharedItems containsString="0" containsBlank="1" containsNonDate="0" count="1">
        <m/>
      </sharedItems>
    </cacheField>
    <cacheField name="订单状态" numFmtId="0">
      <sharedItems containsString="0" containsBlank="1" containsNonDate="0" count="1">
        <m/>
      </sharedItems>
    </cacheField>
    <cacheField name="订单类型" numFmtId="0">
      <sharedItems count="1">
        <s v="代发货(来自分销商)"/>
      </sharedItems>
    </cacheField>
    <cacheField name="料" numFmtId="0">
      <sharedItems containsString="0" containsBlank="1" containsNonDate="0" count="1">
        <m/>
      </sharedItems>
    </cacheField>
    <cacheField name="工" numFmtId="0">
      <sharedItems containsString="0" containsBlank="1" containsNonDate="0" count="1">
        <m/>
      </sharedItems>
    </cacheField>
    <cacheField name="费" numFmtId="0">
      <sharedItems containsString="0" containsBlank="1" containsNonDate="0" count="1">
        <m/>
      </sharedItems>
    </cacheField>
    <cacheField name="东莞成本含税" numFmtId="0">
      <sharedItems containsString="0" containsBlank="1" containsNonDate="0" count="1">
        <m/>
      </sharedItems>
    </cacheField>
    <cacheField name="东莞成本不含税" numFmtId="0">
      <sharedItems containsString="0" containsBlank="1" containsNonDate="0" count="1">
        <m/>
      </sharedItems>
    </cacheField>
    <cacheField name="账期状态" numFmtId="0">
      <sharedItems count="1">
        <s v="202312发货"/>
      </sharedItems>
    </cacheField>
    <cacheField name="跨月账期" numFmtId="0">
      <sharedItems containsString="0" containsBlank="1" containsNonDate="0" count="1">
        <m/>
      </sharedItems>
    </cacheField>
    <cacheField name="渠道组" numFmtId="0">
      <sharedItems count="1">
        <s v="京多事业部"/>
      </sharedItems>
    </cacheField>
    <cacheField name="季节性产品分类" numFmtId="0">
      <sharedItems count="1">
        <s v="年货"/>
      </sharedItems>
    </cacheField>
    <cacheField name="归属渠道" numFmtId="0">
      <sharedItems count="1">
        <s v="自营"/>
      </sharedItems>
    </cacheField>
    <cacheField name="东莞单价" numFmtId="0">
      <sharedItems containsString="0" containsBlank="1" containsNonDate="0" count="1">
        <m/>
      </sharedItems>
    </cacheField>
    <cacheField name="发货年月" numFmtId="0">
      <sharedItems count="1">
        <s v="202312"/>
      </sharedItems>
    </cacheField>
    <cacheField name="动账年月" numFmtId="0">
      <sharedItems containsString="0" containsBlank="1" containsNonDate="0" count="1">
        <m/>
      </sharedItems>
    </cacheField>
    <cacheField name="跨月动账年月" numFmtId="0">
      <sharedItems containsString="0" containsBlank="1" containsNonDate="0" count="1">
        <m/>
      </sharedItems>
    </cacheField>
    <cacheField name="区域/组别" numFmtId="0">
      <sharedItems containsString="0" containsBlank="1" containsNonDate="0" count="1">
        <m/>
      </sharedItems>
    </cacheField>
    <cacheField name="销售人员" numFmtId="0">
      <sharedItems containsString="0" containsBlank="1" containsNonDate="0" count="1">
        <m/>
      </sharedItems>
    </cacheField>
    <cacheField name="税率" numFmtId="0">
      <sharedItems containsSemiMixedTypes="0" containsString="0" containsNumber="1" minValue="0" maxValue="0.13" count="1">
        <n v="0.13"/>
      </sharedItems>
    </cacheField>
    <cacheField name="款项类型" numFmtId="0">
      <sharedItems containsString="0" containsBlank="1" containsNonDate="0" count="1">
        <m/>
      </sharedItems>
    </cacheField>
    <cacheField name="发货日期" numFmtId="0">
      <sharedItems count="1">
        <s v="20231227"/>
      </sharedItems>
    </cacheField>
    <cacheField name="口味" numFmtId="0">
      <sharedItems containsString="0" containsBlank="1" containsNonDate="0" count="1">
        <m/>
      </sharedItems>
    </cacheField>
    <cacheField name="规格" numFmtId="0">
      <sharedItems count="3">
        <s v="228g"/>
        <s v="240g"/>
        <s v="267g"/>
      </sharedItems>
    </cacheField>
    <cacheField name="单位" numFmtId="0">
      <sharedItems count="1">
        <s v="盒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99.4001157407" refreshedBy="admin" recordCount="3">
  <cacheSource type="worksheet">
    <worksheetSource ref="A1:BT4" sheet="12月京东旗舰店明细"/>
  </cacheSource>
  <cacheFields count="72">
    <cacheField name="模块" numFmtId="0">
      <sharedItems count="1">
        <s v="自营"/>
      </sharedItems>
    </cacheField>
    <cacheField name="单据编号" numFmtId="0">
      <sharedItems count="1">
        <s v="LMYK202312215365"/>
      </sharedItems>
    </cacheField>
    <cacheField name="网店订单号" numFmtId="0">
      <sharedItems containsString="0" containsBlank="1" containsNonDate="0" count="1">
        <m/>
      </sharedItems>
    </cacheField>
    <cacheField name="运输单号" numFmtId="0">
      <sharedItems count="1">
        <s v="LMYK202312215365"/>
      </sharedItems>
    </cacheField>
    <cacheField name="发货组织" numFmtId="0">
      <sharedItems count="1">
        <s v="深圳榴芒"/>
      </sharedItems>
    </cacheField>
    <cacheField name="管理报表渠道" numFmtId="0">
      <sharedItems count="1">
        <s v="京东pop仓-sz"/>
      </sharedItems>
    </cacheField>
    <cacheField name="产品编码" numFmtId="0">
      <sharedItems count="2">
        <s v="280FXLHMH"/>
        <s v="280NHBFLH"/>
      </sharedItems>
    </cacheField>
    <cacheField name="产品名称" numFmtId="0">
      <sharedItems count="2">
        <s v="福星礼盒280克二十枚(盲盒)"/>
        <s v="暴富礼盒280克二十枚(盲盒)"/>
      </sharedItems>
    </cacheField>
    <cacheField name="分类" numFmtId="0">
      <sharedItems count="1">
        <s v="年货常温干货"/>
      </sharedItems>
    </cacheField>
    <cacheField name="实发数量" numFmtId="0">
      <sharedItems containsSemiMixedTypes="0" containsString="0" containsNumber="1" containsInteger="1" minValue="0" maxValue="504" count="3">
        <n v="360"/>
        <n v="144"/>
        <n v="504"/>
      </sharedItems>
    </cacheField>
    <cacheField name="箱装系数" numFmtId="0">
      <sharedItems containsSemiMixedTypes="0" containsString="0" containsNumber="1" containsInteger="1" minValue="0" maxValue="1" count="1">
        <n v="1"/>
      </sharedItems>
    </cacheField>
    <cacheField name="订单/报价收入" numFmtId="0">
      <sharedItems containsString="0" containsBlank="1" containsNonDate="0" count="1">
        <m/>
      </sharedItems>
    </cacheField>
    <cacheField name="换购金额" numFmtId="0">
      <sharedItems containsString="0" containsBlank="1" containsNonDate="0" count="1">
        <m/>
      </sharedItems>
    </cacheField>
    <cacheField name="种菜金额" numFmtId="0">
      <sharedItems containsString="0" containsBlank="1" containsNonDate="0" count="1">
        <m/>
      </sharedItems>
    </cacheField>
    <cacheField name="平台补贴预估金额" numFmtId="0">
      <sharedItems containsString="0" containsBlank="1" containsNonDate="0" count="1">
        <m/>
      </sharedItems>
    </cacheField>
    <cacheField name="平台补贴实际金额" numFmtId="0">
      <sharedItems containsString="0" containsBlank="1" containsNonDate="0" count="1">
        <m/>
      </sharedItems>
    </cacheField>
    <cacheField name="平台补贴差异" numFmtId="0">
      <sharedItems containsString="0" containsBlank="1" containsNonDate="0" count="1">
        <m/>
      </sharedItems>
    </cacheField>
    <cacheField name="账单/核对收入" numFmtId="0">
      <sharedItems containsSemiMixedTypes="0" containsString="0" containsNumber="1" containsInteger="1" minValue="0" maxValue="0" count="1">
        <n v="0"/>
      </sharedItems>
    </cacheField>
    <cacheField name="退款" numFmtId="0">
      <sharedItems containsString="0" containsBlank="1" containsNonDate="0" count="1">
        <m/>
      </sharedItems>
    </cacheField>
    <cacheField name="对账差异" numFmtId="0">
      <sharedItems containsString="0" containsBlank="1" containsNonDate="0" count="1">
        <m/>
      </sharedItems>
    </cacheField>
    <cacheField name="单品差异备注" numFmtId="0">
      <sharedItems containsString="0" containsBlank="1" containsNonDate="0" count="1">
        <m/>
      </sharedItems>
    </cacheField>
    <cacheField name="账单(滚动)/核对收入" numFmtId="0">
      <sharedItems containsSemiMixedTypes="0" containsString="0" containsNumber="1" containsInteger="1" minValue="0" maxValue="0" count="1">
        <n v="0"/>
      </sharedItems>
    </cacheField>
    <cacheField name="滚动退款" numFmtId="0">
      <sharedItems containsString="0" containsBlank="1" containsNonDate="0" count="1">
        <m/>
      </sharedItems>
    </cacheField>
    <cacheField name="滚动差异" numFmtId="0">
      <sharedItems containsString="0" containsBlank="1" containsNonDate="0" count="1">
        <m/>
      </sharedItems>
    </cacheField>
    <cacheField name="总成本不含税" numFmtId="0">
      <sharedItems containsSemiMixedTypes="0" containsString="0" containsNumber="1" minValue="0" maxValue="25507.6847717092" count="3">
        <n v="18219.7696991339"/>
        <n v="7287.90787965359"/>
        <n v="25507.6847717092"/>
      </sharedItems>
    </cacheField>
    <cacheField name="总税额" numFmtId="0">
      <sharedItems containsSemiMixedTypes="0" containsString="0" containsNumber="1" minValue="0" maxValue="3316.07522829078" count="3">
        <n v="2368.630300866"/>
        <n v="947.452120346401"/>
        <n v="3316.07522829078"/>
      </sharedItems>
    </cacheField>
    <cacheField name="总成本含税" numFmtId="0">
      <sharedItems containsSemiMixedTypes="0" containsString="0" containsNumber="1" minValue="0" maxValue="28823.76" count="3">
        <n v="20588.4"/>
        <n v="8235.36"/>
        <n v="28823.76"/>
      </sharedItems>
    </cacheField>
    <cacheField name="预估含税运费" numFmtId="0">
      <sharedItems containsString="0" containsBlank="1" containsNonDate="0" count="1">
        <m/>
      </sharedItems>
    </cacheField>
    <cacheField name="预估不含税运费" numFmtId="0">
      <sharedItems containsString="0" containsBlank="1" containsNonDate="0" count="1">
        <m/>
      </sharedItems>
    </cacheField>
    <cacheField name="预估运费税额" numFmtId="0">
      <sharedItems containsString="0" containsBlank="1" containsNonDate="0" count="1">
        <m/>
      </sharedItems>
    </cacheField>
    <cacheField name="含税运费未核对" numFmtId="0">
      <sharedItems containsSemiMixedTypes="0" containsString="0" containsNumber="1" containsInteger="1" minValue="0" maxValue="5" count="1">
        <n v="5"/>
      </sharedItems>
    </cacheField>
    <cacheField name="不含税运费未核对" numFmtId="0">
      <sharedItems containsSemiMixedTypes="0" containsString="0" containsNumber="1" minValue="0" maxValue="4.716981132" count="1">
        <n v="4.716981132"/>
      </sharedItems>
    </cacheField>
    <cacheField name="未核对运费税额" numFmtId="0">
      <sharedItems containsSemiMixedTypes="0" containsString="0" containsNumber="1" minValue="0" maxValue="0.283018868" count="1">
        <n v="0.283018868"/>
      </sharedItems>
    </cacheField>
    <cacheField name="含税运费已核对" numFmtId="0">
      <sharedItems containsString="0" containsBlank="1" containsNonDate="0" count="1">
        <m/>
      </sharedItems>
    </cacheField>
    <cacheField name="不含税运费已核对" numFmtId="0">
      <sharedItems containsString="0" containsBlank="1" containsNonDate="0" count="1">
        <m/>
      </sharedItems>
    </cacheField>
    <cacheField name="已核对运费税额" numFmtId="0">
      <sharedItems containsString="0" containsBlank="1" containsNonDate="0" count="1">
        <m/>
      </sharedItems>
    </cacheField>
    <cacheField name="未核对与预估差额含税" numFmtId="0">
      <sharedItems containsString="0" containsBlank="1" containsNonDate="0" count="1">
        <m/>
      </sharedItems>
    </cacheField>
    <cacheField name="未核对与预估差额不含税" numFmtId="0">
      <sharedItems containsString="0" containsBlank="1" containsNonDate="0" count="1">
        <m/>
      </sharedItems>
    </cacheField>
    <cacheField name="未核对与预估税额差额" numFmtId="0">
      <sharedItems containsString="0" containsBlank="1" containsNonDate="0" count="1">
        <m/>
      </sharedItems>
    </cacheField>
    <cacheField name="已核对与预估差额含税" numFmtId="0">
      <sharedItems containsString="0" containsBlank="1" containsNonDate="0" count="1">
        <m/>
      </sharedItems>
    </cacheField>
    <cacheField name="已核对与预估差额不含税" numFmtId="0">
      <sharedItems containsString="0" containsBlank="1" containsNonDate="0" count="1">
        <m/>
      </sharedItems>
    </cacheField>
    <cacheField name="已核对与预估税额差额" numFmtId="0">
      <sharedItems containsString="0" containsBlank="1" containsNonDate="0" count="1">
        <m/>
      </sharedItems>
    </cacheField>
    <cacheField name="已核对与未核对差额含税" numFmtId="0">
      <sharedItems containsString="0" containsBlank="1" containsNonDate="0" count="1">
        <m/>
      </sharedItems>
    </cacheField>
    <cacheField name="已核对与未核对差额不含税" numFmtId="0">
      <sharedItems containsString="0" containsBlank="1" containsNonDate="0" count="1">
        <m/>
      </sharedItems>
    </cacheField>
    <cacheField name="已核对与未核对税额差额" numFmtId="0">
      <sharedItems containsString="0" containsBlank="1" containsNonDate="0" count="1">
        <m/>
      </sharedItems>
    </cacheField>
    <cacheField name="订单状态" numFmtId="0">
      <sharedItems containsString="0" containsBlank="1" containsNonDate="0" count="1">
        <m/>
      </sharedItems>
    </cacheField>
    <cacheField name="订单类型" numFmtId="0">
      <sharedItems count="1">
        <s v="代发货(来自分销商)"/>
      </sharedItems>
    </cacheField>
    <cacheField name="料" numFmtId="0">
      <sharedItems containsString="0" containsBlank="1" containsNonDate="0" count="1">
        <m/>
      </sharedItems>
    </cacheField>
    <cacheField name="工" numFmtId="0">
      <sharedItems containsString="0" containsBlank="1" containsNonDate="0" count="1">
        <m/>
      </sharedItems>
    </cacheField>
    <cacheField name="费" numFmtId="0">
      <sharedItems containsString="0" containsBlank="1" containsNonDate="0" count="1">
        <m/>
      </sharedItems>
    </cacheField>
    <cacheField name="东莞成本含税" numFmtId="0">
      <sharedItems containsString="0" containsBlank="1" containsNonDate="0" count="1">
        <m/>
      </sharedItems>
    </cacheField>
    <cacheField name="东莞成本不含税" numFmtId="0">
      <sharedItems containsString="0" containsBlank="1" containsNonDate="0" count="1">
        <m/>
      </sharedItems>
    </cacheField>
    <cacheField name="账期状态" numFmtId="0">
      <sharedItems count="1">
        <s v="202312发货"/>
      </sharedItems>
    </cacheField>
    <cacheField name="跨月账期" numFmtId="0">
      <sharedItems containsString="0" containsBlank="1" containsNonDate="0" count="1">
        <m/>
      </sharedItems>
    </cacheField>
    <cacheField name="渠道组" numFmtId="0">
      <sharedItems count="1">
        <s v="京多事业部"/>
      </sharedItems>
    </cacheField>
    <cacheField name="季节性产品分类" numFmtId="0">
      <sharedItems count="1">
        <s v="年货"/>
      </sharedItems>
    </cacheField>
    <cacheField name="归属渠道" numFmtId="0">
      <sharedItems count="1">
        <s v="自营"/>
      </sharedItems>
    </cacheField>
    <cacheField name="东莞单价" numFmtId="0">
      <sharedItems containsString="0" containsBlank="1" containsNonDate="0" count="1">
        <m/>
      </sharedItems>
    </cacheField>
    <cacheField name="发货年月" numFmtId="0">
      <sharedItems count="1">
        <s v="202312"/>
      </sharedItems>
    </cacheField>
    <cacheField name="动账年月" numFmtId="0">
      <sharedItems containsString="0" containsBlank="1" containsNonDate="0" count="1">
        <m/>
      </sharedItems>
    </cacheField>
    <cacheField name="跨月动账年月" numFmtId="0">
      <sharedItems containsString="0" containsBlank="1" containsNonDate="0" count="1">
        <m/>
      </sharedItems>
    </cacheField>
    <cacheField name="区域/组别" numFmtId="0">
      <sharedItems containsString="0" containsBlank="1" containsNonDate="0" count="1">
        <m/>
      </sharedItems>
    </cacheField>
    <cacheField name="销售人员" numFmtId="0">
      <sharedItems containsString="0" containsBlank="1" containsNonDate="0" count="1">
        <m/>
      </sharedItems>
    </cacheField>
    <cacheField name="税率" numFmtId="0">
      <sharedItems containsSemiMixedTypes="0" containsString="0" containsNumber="1" minValue="0" maxValue="0.13" count="1">
        <n v="0.13"/>
      </sharedItems>
    </cacheField>
    <cacheField name="款项类型" numFmtId="0">
      <sharedItems containsString="0" containsBlank="1" containsNonDate="0" count="1">
        <m/>
      </sharedItems>
    </cacheField>
    <cacheField name="发货日期" numFmtId="0">
      <sharedItems count="1">
        <s v="20231230"/>
      </sharedItems>
    </cacheField>
    <cacheField name="口味" numFmtId="0">
      <sharedItems containsString="0" containsBlank="1" containsNonDate="0" count="1">
        <m/>
      </sharedItems>
    </cacheField>
    <cacheField name="规格" numFmtId="0">
      <sharedItems count="1">
        <s v="267g"/>
      </sharedItems>
    </cacheField>
    <cacheField name="单位" numFmtId="0">
      <sharedItems count="1">
        <s v="盒"/>
      </sharedItems>
    </cacheField>
    <cacheField name="收入" numFmtId="0">
      <sharedItems containsString="0" containsBlank="1" containsNonDate="0" count="1">
        <m/>
      </sharedItems>
    </cacheField>
    <cacheField name="账期" numFmtId="0">
      <sharedItems count="1">
        <s v="未出库未结账"/>
      </sharedItems>
    </cacheField>
    <cacheField name="状态" numFmtId="0">
      <sharedItems count="1">
        <s v="未出库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99.4375" refreshedBy="admin" recordCount="5">
  <cacheSource type="worksheet">
    <worksheetSource ref="A1:AX6" sheet="11月京东自营库存"/>
  </cacheSource>
  <cacheFields count="49">
    <cacheField name="序号" numFmtId="49">
      <sharedItems count="5">
        <s v="20081"/>
        <s v="20082"/>
        <s v="20083"/>
        <s v="20084"/>
        <s v="20085"/>
      </sharedItems>
    </cacheField>
    <cacheField name="分类" numFmtId="49">
      <sharedItems count="2">
        <s v="POP 未出库"/>
        <s v="POP 出库一部分"/>
      </sharedItems>
    </cacheField>
    <cacheField name="模块" numFmtId="0">
      <sharedItems count="1">
        <s v="自营"/>
      </sharedItems>
    </cacheField>
    <cacheField name="单据编号" numFmtId="0">
      <sharedItems count="3">
        <s v="LMYK202311252006"/>
        <s v="LMYK202311231893"/>
        <s v="LMYK202311171878"/>
      </sharedItems>
    </cacheField>
    <cacheField name="网店订单号" numFmtId="176">
      <sharedItems containsSemiMixedTypes="0" containsString="0" containsNumber="1" containsInteger="1" minValue="0" maxValue="960" count="4">
        <n v="960"/>
        <n v="480"/>
        <n v="48"/>
        <n v="59"/>
      </sharedItems>
    </cacheField>
    <cacheField name="运输单号" numFmtId="0">
      <sharedItems containsString="0" containsBlank="1" containsNonDate="0" count="1">
        <m/>
      </sharedItems>
    </cacheField>
    <cacheField name="发货组织" numFmtId="0">
      <sharedItems count="1">
        <s v="深圳榴芒"/>
      </sharedItems>
    </cacheField>
    <cacheField name="管理报表渠道-更改" numFmtId="0">
      <sharedItems count="1">
        <s v="京东自营店"/>
      </sharedItems>
    </cacheField>
    <cacheField name="客户名称-更改" numFmtId="0">
      <sharedItems count="1">
        <s v="京东自营店-sz"/>
      </sharedItems>
    </cacheField>
    <cacheField name="客户名称" numFmtId="0">
      <sharedItems count="1">
        <s v="京东入仓-sz"/>
      </sharedItems>
    </cacheField>
    <cacheField name="产品编码" numFmtId="0">
      <sharedItems count="3">
        <s v="228NHSDJGQKL"/>
        <s v="216NHXHYJGQKL"/>
        <s v="MSWBQL75G"/>
      </sharedItems>
    </cacheField>
    <cacheField name="产品名称" numFmtId="0">
      <sharedItems count="3">
        <s v="圣诞坚果巧克力礼盒228克二十枚(盲盒)"/>
        <s v="小黄鸭坚果巧克力礼盒216克二十枚(盲盒)"/>
        <s v="猫山王榴莲冰淇淋(杯)"/>
      </sharedItems>
    </cacheField>
    <cacheField name="分类2" numFmtId="0">
      <sharedItems count="2">
        <s v="年货"/>
        <s v="冰淇淋"/>
      </sharedItems>
    </cacheField>
    <cacheField name="产品编码-换算" numFmtId="0">
      <sharedItems count="3">
        <s v="228NHSDJGQKL"/>
        <s v="216NHXHYJGQKL"/>
        <s v="MSWBQL75G"/>
      </sharedItems>
    </cacheField>
    <cacheField name="产品名称-换算" numFmtId="0">
      <sharedItems count="3">
        <s v="圣诞坚果巧克力礼盒228克二十枚(盲盒)"/>
        <s v="小黄鸭坚果巧克力礼盒216克二十枚(盲盒)"/>
        <s v="猫山王榴莲冰淇淋(杯)"/>
      </sharedItems>
    </cacheField>
    <cacheField name="实发数量-换算" numFmtId="0">
      <sharedItems containsSemiMixedTypes="0" containsString="0" containsNumber="1" containsInteger="1" minValue="0" maxValue="960" count="4">
        <n v="960"/>
        <n v="480"/>
        <n v="48"/>
        <n v="37"/>
      </sharedItems>
    </cacheField>
    <cacheField name="实发数量" numFmtId="0">
      <sharedItems containsSemiMixedTypes="0" containsString="0" containsNumber="1" containsInteger="1" minValue="0" maxValue="960" count="4">
        <n v="960"/>
        <n v="480"/>
        <n v="48"/>
        <n v="37"/>
      </sharedItems>
    </cacheField>
    <cacheField name="箱装系数" numFmtId="0">
      <sharedItems containsSemiMixedTypes="0" containsString="0" containsNumber="1" containsInteger="1" minValue="0" maxValue="1" count="1">
        <n v="1"/>
      </sharedItems>
    </cacheField>
    <cacheField name="收入含税" numFmtId="177">
      <sharedItems containsSemiMixedTypes="0" containsString="0" containsNumber="1" containsInteger="1" minValue="0" maxValue="1180" count="2">
        <n v="0"/>
        <n v="1180"/>
      </sharedItems>
    </cacheField>
    <cacheField name="收入税额" numFmtId="177">
      <sharedItems containsSemiMixedTypes="0" containsString="0" containsNumber="1" minValue="0" maxValue="135.75" count="2">
        <n v="0"/>
        <n v="135.75"/>
      </sharedItems>
    </cacheField>
    <cacheField name="收入不含税" numFmtId="178">
      <sharedItems containsSemiMixedTypes="0" containsString="0" containsNumber="1" minValue="0" maxValue="1044.25" count="2">
        <n v="0"/>
        <n v="1044.25"/>
      </sharedItems>
    </cacheField>
    <cacheField name="总成本不含税" numFmtId="176">
      <sharedItems containsSemiMixedTypes="0" containsString="0" containsNumber="1" minValue="0" maxValue="46700.19" count="4">
        <n v="46700.19"/>
        <n v="23350.13"/>
        <n v="191.16"/>
        <n v="147.35"/>
      </sharedItems>
    </cacheField>
    <cacheField name="总税额" numFmtId="176">
      <sharedItems containsSemiMixedTypes="0" containsString="0" containsNumber="1" minValue="0" maxValue="6071.01" count="4">
        <n v="6071.01"/>
        <n v="3035.47"/>
        <n v="24.84"/>
        <n v="19.15"/>
      </sharedItems>
    </cacheField>
    <cacheField name="总成本含税" numFmtId="176">
      <sharedItems containsSemiMixedTypes="0" containsString="0" containsNumber="1" minValue="0" maxValue="52771.2" count="4">
        <n v="52771.2"/>
        <n v="26385.6"/>
        <n v="216"/>
        <n v="166.5"/>
      </sharedItems>
    </cacheField>
    <cacheField name="运费账单金额" numFmtId="0">
      <sharedItems containsString="0" containsBlank="1" containsNonDate="0" count="1">
        <m/>
      </sharedItems>
    </cacheField>
    <cacheField name="运费成本比例" numFmtId="0">
      <sharedItems containsString="0" containsBlank="1" containsNonDate="0" count="1">
        <m/>
      </sharedItems>
    </cacheField>
    <cacheField name="运费含税" numFmtId="176">
      <sharedItems containsSemiMixedTypes="0" containsString="0" containsNumber="1" containsInteger="1" minValue="0" maxValue="0" count="1">
        <n v="0"/>
      </sharedItems>
    </cacheField>
    <cacheField name="运费不含税" numFmtId="176">
      <sharedItems containsSemiMixedTypes="0" containsString="0" containsNumber="1" containsInteger="1" minValue="0" maxValue="0" count="1">
        <n v="0"/>
      </sharedItems>
    </cacheField>
    <cacheField name="运费税额" numFmtId="176">
      <sharedItems containsSemiMixedTypes="0" containsString="0" containsNumber="1" containsInteger="1" minValue="0" maxValue="0" count="1">
        <n v="0"/>
      </sharedItems>
    </cacheField>
    <cacheField name="料" numFmtId="185">
      <sharedItems containsSemiMixedTypes="0" containsString="0" containsNumber="1" minValue="0" maxValue="28065.7600686737" count="4">
        <n v="28065.7600686737"/>
        <n v="14266.1069798634"/>
        <n v="170.071986754966"/>
        <n v="131.097173509933"/>
      </sharedItems>
    </cacheField>
    <cacheField name="工" numFmtId="185">
      <sharedItems containsSemiMixedTypes="0" containsString="0" containsNumber="1" minValue="0" maxValue="4452.42991095386" count="3">
        <n v="4452.42991095386"/>
        <n v="2226.21121425621"/>
        <n v="0"/>
      </sharedItems>
    </cacheField>
    <cacheField name="费" numFmtId="185">
      <sharedItems containsSemiMixedTypes="0" containsString="0" containsNumber="1" minValue="0" maxValue="4292.74508094055" count="3">
        <n v="4292.74508094055"/>
        <n v="2146.36454575767"/>
        <n v="0"/>
      </sharedItems>
    </cacheField>
    <cacheField name="东莞成本含税" numFmtId="185">
      <sharedItems containsSemiMixedTypes="0" containsString="0" containsNumber="1" minValue="0" maxValue="39681.0337680268" count="4">
        <n v="39681.0337680268"/>
        <n v="20096.5122394964"/>
        <n v="186.683727099183"/>
        <n v="143.902039598366"/>
      </sharedItems>
    </cacheField>
    <cacheField name="东莞成本不含税" numFmtId="185">
      <sharedItems containsSemiMixedTypes="0" containsString="0" containsNumber="1" minValue="0" maxValue="36810.9350605685" count="4">
        <n v="36810.9350605685"/>
        <n v="18638.6827398773"/>
        <n v="170.071986754966"/>
        <n v="131.097156409933"/>
      </sharedItems>
    </cacheField>
    <cacheField name="东莞成本税" numFmtId="185">
      <sharedItems containsSemiMixedTypes="0" containsString="0" containsNumber="1" minValue="0" maxValue="2870.0987074583" count="4">
        <n v="2870.0987074583"/>
        <n v="1457.8294996191"/>
        <n v="16.611740344217"/>
        <n v="12.804880688433"/>
      </sharedItems>
    </cacheField>
    <cacheField name="东莞单价" numFmtId="0">
      <sharedItems containsString="0" containsBlank="1" containsNonDate="0" count="1">
        <m/>
      </sharedItems>
    </cacheField>
    <cacheField name="渠道组" numFmtId="0">
      <sharedItems count="1">
        <s v="京多事业部"/>
      </sharedItems>
    </cacheField>
    <cacheField name="季节性产品分类" numFmtId="0">
      <sharedItems count="2">
        <s v="年货"/>
        <s v="其他"/>
      </sharedItems>
    </cacheField>
    <cacheField name="归属渠道" numFmtId="0">
      <sharedItems count="1">
        <s v="自营"/>
      </sharedItems>
    </cacheField>
    <cacheField name="区域/组别" numFmtId="0">
      <sharedItems containsString="0" containsBlank="1" containsNonDate="0" count="1">
        <m/>
      </sharedItems>
    </cacheField>
    <cacheField name="销售人员" numFmtId="0">
      <sharedItems containsString="0" containsBlank="1" containsNonDate="0" count="1">
        <m/>
      </sharedItems>
    </cacheField>
    <cacheField name="账期状态" numFmtId="0">
      <sharedItems containsString="0" containsBlank="1" containsNonDate="0" count="1">
        <m/>
      </sharedItems>
    </cacheField>
    <cacheField name="发货年月" numFmtId="0">
      <sharedItems containsString="0" containsBlank="1" containsNonDate="0" count="1">
        <m/>
      </sharedItems>
    </cacheField>
    <cacheField name="税率" numFmtId="0">
      <sharedItems containsSemiMixedTypes="0" containsString="0" containsNumber="1" minValue="0" maxValue="0.13" count="1">
        <n v="0.13"/>
      </sharedItems>
    </cacheField>
    <cacheField name="款项类型" numFmtId="0">
      <sharedItems containsString="0" containsBlank="1" containsNonDate="0" count="1">
        <m/>
      </sharedItems>
    </cacheField>
    <cacheField name="发货日期" numFmtId="0">
      <sharedItems containsString="0" containsBlank="1" containsNonDate="0" count="1">
        <m/>
      </sharedItems>
    </cacheField>
    <cacheField name="口味" numFmtId="0">
      <sharedItems containsString="0" containsBlank="1" containsNonDate="0" count="1">
        <m/>
      </sharedItems>
    </cacheField>
    <cacheField name="规格" numFmtId="0">
      <sharedItems containsString="0" containsBlank="1" containsNonDate="0" count="1">
        <m/>
      </sharedItems>
    </cacheField>
    <cacheField name="单位" numFmtId="0">
      <sharedItems containsString="0" containsBlank="1" containsNonDate="0" count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00.4209375" refreshedBy="admin" recordCount="8">
  <cacheSource type="worksheet">
    <worksheetSource ref="A1:BX9" sheet="12月发出商品明细"/>
  </cacheSource>
  <cacheFields count="76">
    <cacheField name="模块" numFmtId="0">
      <sharedItems count="1">
        <s v="自营"/>
      </sharedItems>
    </cacheField>
    <cacheField name="单据编号" numFmtId="0">
      <sharedItems count="2">
        <s v="LMYK202312215365"/>
        <s v="LMYK202312215344"/>
      </sharedItems>
    </cacheField>
    <cacheField name="网店订单号" numFmtId="0">
      <sharedItems containsString="0" containsBlank="1" containsNonDate="0" count="1">
        <m/>
      </sharedItems>
    </cacheField>
    <cacheField name="运输单号" numFmtId="0">
      <sharedItems count="2">
        <s v="LMYK202312215365"/>
        <s v="LMYK202312215344"/>
      </sharedItems>
    </cacheField>
    <cacheField name="发货组织" numFmtId="0">
      <sharedItems count="1">
        <s v="深圳榴芒"/>
      </sharedItems>
    </cacheField>
    <cacheField name="管理报表渠道" numFmtId="0">
      <sharedItems count="2">
        <s v="京东pop仓-sz"/>
        <s v="京东入仓-sz"/>
      </sharedItems>
    </cacheField>
    <cacheField name="产品编码" numFmtId="0">
      <sharedItems count="5">
        <s v="280FXLHMH"/>
        <s v="280NHBFLH"/>
        <s v="216NHXHYJGQKL"/>
        <s v="240FXLLJG"/>
        <s v="240NHBFLLJG"/>
      </sharedItems>
    </cacheField>
    <cacheField name="产品名称" numFmtId="0">
      <sharedItems count="5">
        <s v="福星礼盒280克二十枚(盲盒)"/>
        <s v="暴富礼盒280克二十枚(盲盒)"/>
        <s v="小黄鸭坚果巧克力礼盒216克二十枚(盲盒)"/>
        <s v="福星榴莲坚果礼盒240克二十枚"/>
        <s v="暴富榴莲坚果礼盒240克二十枚"/>
      </sharedItems>
    </cacheField>
    <cacheField name="分类" numFmtId="0">
      <sharedItems count="1">
        <s v="年货常温干货"/>
      </sharedItems>
    </cacheField>
    <cacheField name="实发数量" numFmtId="0">
      <sharedItems containsSemiMixedTypes="0" containsString="0" containsNumber="1" containsInteger="1" minValue="0" maxValue="512" count="5">
        <n v="360"/>
        <n v="144"/>
        <n v="504"/>
        <n v="288"/>
        <n v="512"/>
      </sharedItems>
    </cacheField>
    <cacheField name="箱装系数" numFmtId="0">
      <sharedItems containsSemiMixedTypes="0" containsString="0" containsNumber="1" containsInteger="1" minValue="0" maxValue="1" count="1">
        <n v="1"/>
      </sharedItems>
    </cacheField>
    <cacheField name="订单/报价收入" numFmtId="0">
      <sharedItems containsString="0" containsBlank="1" containsNonDate="0" count="1">
        <m/>
      </sharedItems>
    </cacheField>
    <cacheField name="换购金额" numFmtId="0">
      <sharedItems containsString="0" containsBlank="1" containsNonDate="0" count="1">
        <m/>
      </sharedItems>
    </cacheField>
    <cacheField name="种菜金额" numFmtId="0">
      <sharedItems containsString="0" containsBlank="1" containsNonDate="0" count="1">
        <m/>
      </sharedItems>
    </cacheField>
    <cacheField name="平台补贴预估金额" numFmtId="0">
      <sharedItems containsString="0" containsBlank="1" containsNonDate="0" count="1">
        <m/>
      </sharedItems>
    </cacheField>
    <cacheField name="平台补贴实际金额" numFmtId="0">
      <sharedItems containsString="0" containsBlank="1" containsNonDate="0" count="1">
        <m/>
      </sharedItems>
    </cacheField>
    <cacheField name="平台补贴差异" numFmtId="0">
      <sharedItems containsString="0" containsBlank="1" containsNonDate="0" count="1">
        <m/>
      </sharedItems>
    </cacheField>
    <cacheField name="账单/核对收入" numFmtId="0">
      <sharedItems containsSemiMixedTypes="0" containsString="0" containsNumber="1" containsInteger="1" minValue="0" maxValue="0" count="1">
        <n v="0"/>
      </sharedItems>
    </cacheField>
    <cacheField name="退款" numFmtId="0">
      <sharedItems containsString="0" containsBlank="1" containsNonDate="0" count="1">
        <m/>
      </sharedItems>
    </cacheField>
    <cacheField name="对账差异" numFmtId="0">
      <sharedItems containsString="0" containsBlank="1" containsNonDate="0" count="1">
        <m/>
      </sharedItems>
    </cacheField>
    <cacheField name="单品差异备注" numFmtId="0">
      <sharedItems containsString="0" containsBlank="1" containsNonDate="0" count="1">
        <m/>
      </sharedItems>
    </cacheField>
    <cacheField name="账单(滚动)/核对收入" numFmtId="0">
      <sharedItems containsSemiMixedTypes="0" containsString="0" containsNumber="1" containsInteger="1" minValue="0" maxValue="0" count="1">
        <n v="0"/>
      </sharedItems>
    </cacheField>
    <cacheField name="滚动退款" numFmtId="0">
      <sharedItems containsString="0" containsBlank="1" containsNonDate="0" count="1">
        <m/>
      </sharedItems>
    </cacheField>
    <cacheField name="滚动差异" numFmtId="0">
      <sharedItems containsString="0" containsBlank="1" containsNonDate="0" count="1">
        <m/>
      </sharedItems>
    </cacheField>
    <cacheField name="总成本不含税" numFmtId="0">
      <sharedItems containsSemiMixedTypes="0" containsString="0" containsNumber="1" minValue="0" maxValue="25507.68" count="6">
        <n v="18219.77"/>
        <n v="7287.91"/>
        <n v="25507.68"/>
        <n v="14010.09"/>
        <n v="25006.3"/>
        <n v="25006.29"/>
      </sharedItems>
    </cacheField>
    <cacheField name="总税额" numFmtId="0">
      <sharedItems containsSemiMixedTypes="0" containsString="0" containsNumber="1" minValue="0" maxValue="3316.08" count="6">
        <n v="2368.63"/>
        <n v="947.450000000001"/>
        <n v="3316.08"/>
        <n v="1821.27"/>
        <n v="3250.98"/>
        <n v="3250.99"/>
      </sharedItems>
    </cacheField>
    <cacheField name="总成本含税" numFmtId="0">
      <sharedItems containsSemiMixedTypes="0" containsString="0" containsNumber="1" minValue="0" maxValue="28823.76" count="5">
        <n v="20588.4"/>
        <n v="8235.36"/>
        <n v="28823.76"/>
        <n v="15831.36"/>
        <n v="28257.28"/>
      </sharedItems>
    </cacheField>
    <cacheField name="总成本不含税2" numFmtId="0">
      <sharedItems containsSemiMixedTypes="0" containsString="0" containsNumber="1" minValue="0" maxValue="23143.86" count="5">
        <n v="16531.33"/>
        <n v="6612.53"/>
        <n v="23143.86"/>
        <n v="12659.26"/>
        <n v="22605.03"/>
      </sharedItems>
    </cacheField>
    <cacheField name="成本税额" numFmtId="0">
      <sharedItems containsSemiMixedTypes="0" containsString="0" containsNumber="1" minValue="0" maxValue="3008.7" count="5">
        <n v="2149.07"/>
        <n v="859.63"/>
        <n v="3008.7"/>
        <n v="1645.7"/>
        <n v="2938.65"/>
      </sharedItems>
    </cacheField>
    <cacheField name="总成本含税2" numFmtId="0">
      <sharedItems containsSemiMixedTypes="0" containsString="0" containsNumber="1" minValue="0" maxValue="26152.56" count="5">
        <n v="18680.4"/>
        <n v="7472.16"/>
        <n v="26152.56"/>
        <n v="14304.96"/>
        <n v="25543.68"/>
      </sharedItems>
    </cacheField>
    <cacheField name="调整金额-含税" numFmtId="0">
      <sharedItems containsSemiMixedTypes="0" containsString="0" containsNumber="1" minValue="-2713.6" maxValue="0" count="5">
        <n v="-1908"/>
        <n v="-763.2"/>
        <n v="-2671.2"/>
        <n v="-1526.4"/>
        <n v="-2713.6"/>
      </sharedItems>
    </cacheField>
    <cacheField name="预估含税运费" numFmtId="0">
      <sharedItems containsString="0" containsBlank="1" containsNonDate="0" count="1">
        <m/>
      </sharedItems>
    </cacheField>
    <cacheField name="预估不含税运费" numFmtId="0">
      <sharedItems containsString="0" containsBlank="1" containsNonDate="0" count="1">
        <m/>
      </sharedItems>
    </cacheField>
    <cacheField name="预估运费税额" numFmtId="0">
      <sharedItems containsString="0" containsBlank="1" containsNonDate="0" count="1">
        <m/>
      </sharedItems>
    </cacheField>
    <cacheField name="含税运费未核对" numFmtId="0">
      <sharedItems containsSemiMixedTypes="0" containsString="0" containsNumber="1" containsInteger="1" minValue="0" maxValue="5" count="1">
        <n v="5"/>
      </sharedItems>
    </cacheField>
    <cacheField name="不含税运费未核对" numFmtId="0">
      <sharedItems containsSemiMixedTypes="0" containsString="0" containsNumber="1" minValue="0" maxValue="4.716981132" count="1">
        <n v="4.716981132"/>
      </sharedItems>
    </cacheField>
    <cacheField name="未核对运费税额" numFmtId="0">
      <sharedItems containsSemiMixedTypes="0" containsString="0" containsNumber="1" minValue="0" maxValue="0.283018868" count="1">
        <n v="0.283018868"/>
      </sharedItems>
    </cacheField>
    <cacheField name="含税运费已核对" numFmtId="0">
      <sharedItems containsString="0" containsBlank="1" containsNonDate="0" count="1">
        <m/>
      </sharedItems>
    </cacheField>
    <cacheField name="不含税运费已核对" numFmtId="0">
      <sharedItems containsString="0" containsBlank="1" containsNonDate="0" count="1">
        <m/>
      </sharedItems>
    </cacheField>
    <cacheField name="已核对运费税额" numFmtId="0">
      <sharedItems containsString="0" containsBlank="1" containsNonDate="0" count="1">
        <m/>
      </sharedItems>
    </cacheField>
    <cacheField name="未核对与预估差额含税" numFmtId="0">
      <sharedItems containsString="0" containsBlank="1" containsNonDate="0" count="1">
        <m/>
      </sharedItems>
    </cacheField>
    <cacheField name="未核对与预估差额不含税" numFmtId="0">
      <sharedItems containsString="0" containsBlank="1" containsNonDate="0" count="1">
        <m/>
      </sharedItems>
    </cacheField>
    <cacheField name="未核对与预估税额差额" numFmtId="0">
      <sharedItems containsString="0" containsBlank="1" containsNonDate="0" count="1">
        <m/>
      </sharedItems>
    </cacheField>
    <cacheField name="已核对与预估差额含税" numFmtId="0">
      <sharedItems containsString="0" containsBlank="1" containsNonDate="0" count="1">
        <m/>
      </sharedItems>
    </cacheField>
    <cacheField name="已核对与预估差额不含税" numFmtId="0">
      <sharedItems containsString="0" containsBlank="1" containsNonDate="0" count="1">
        <m/>
      </sharedItems>
    </cacheField>
    <cacheField name="已核对与预估税额差额" numFmtId="0">
      <sharedItems containsString="0" containsBlank="1" containsNonDate="0" count="1">
        <m/>
      </sharedItems>
    </cacheField>
    <cacheField name="已核对与未核对差额含税" numFmtId="0">
      <sharedItems containsString="0" containsBlank="1" containsNonDate="0" count="1">
        <m/>
      </sharedItems>
    </cacheField>
    <cacheField name="已核对与未核对差额不含税" numFmtId="0">
      <sharedItems containsString="0" containsBlank="1" containsNonDate="0" count="1">
        <m/>
      </sharedItems>
    </cacheField>
    <cacheField name="已核对与未核对税额差额" numFmtId="0">
      <sharedItems containsString="0" containsBlank="1" containsNonDate="0" count="1">
        <m/>
      </sharedItems>
    </cacheField>
    <cacheField name="订单状态" numFmtId="0">
      <sharedItems containsString="0" containsBlank="1" containsNonDate="0" count="1">
        <m/>
      </sharedItems>
    </cacheField>
    <cacheField name="订单类型" numFmtId="0">
      <sharedItems count="1">
        <s v="代发货(来自分销商)"/>
      </sharedItems>
    </cacheField>
    <cacheField name="料" numFmtId="0">
      <sharedItems containsString="0" containsBlank="1" containsNonDate="0" count="1">
        <m/>
      </sharedItems>
    </cacheField>
    <cacheField name="工" numFmtId="0">
      <sharedItems containsString="0" containsBlank="1" containsNonDate="0" count="1">
        <m/>
      </sharedItems>
    </cacheField>
    <cacheField name="费" numFmtId="0">
      <sharedItems containsString="0" containsBlank="1" containsNonDate="0" count="1">
        <m/>
      </sharedItems>
    </cacheField>
    <cacheField name="东莞成本含税" numFmtId="0">
      <sharedItems containsString="0" containsBlank="1" containsNonDate="0" count="1">
        <m/>
      </sharedItems>
    </cacheField>
    <cacheField name="东莞成本不含税" numFmtId="0">
      <sharedItems containsString="0" containsBlank="1" containsNonDate="0" count="1">
        <m/>
      </sharedItems>
    </cacheField>
    <cacheField name="账期状态" numFmtId="0">
      <sharedItems count="1">
        <s v="202312发货"/>
      </sharedItems>
    </cacheField>
    <cacheField name="跨月账期" numFmtId="0">
      <sharedItems containsString="0" containsBlank="1" containsNonDate="0" count="1">
        <m/>
      </sharedItems>
    </cacheField>
    <cacheField name="渠道组" numFmtId="0">
      <sharedItems count="1">
        <s v="京多事业部"/>
      </sharedItems>
    </cacheField>
    <cacheField name="季节性产品分类" numFmtId="0">
      <sharedItems count="1">
        <s v="年货"/>
      </sharedItems>
    </cacheField>
    <cacheField name="归属渠道" numFmtId="0">
      <sharedItems count="1">
        <s v="自营"/>
      </sharedItems>
    </cacheField>
    <cacheField name="东莞单价" numFmtId="0">
      <sharedItems containsString="0" containsBlank="1" containsNonDate="0" count="1">
        <m/>
      </sharedItems>
    </cacheField>
    <cacheField name="发货年月" numFmtId="0">
      <sharedItems count="1">
        <s v="202312"/>
      </sharedItems>
    </cacheField>
    <cacheField name="动账年月" numFmtId="0">
      <sharedItems containsString="0" containsBlank="1" containsNonDate="0" count="1">
        <m/>
      </sharedItems>
    </cacheField>
    <cacheField name="跨月动账年月" numFmtId="0">
      <sharedItems containsString="0" containsBlank="1" containsNonDate="0" count="1">
        <m/>
      </sharedItems>
    </cacheField>
    <cacheField name="区域/组别" numFmtId="0">
      <sharedItems containsString="0" containsBlank="1" containsNonDate="0" count="1">
        <m/>
      </sharedItems>
    </cacheField>
    <cacheField name="销售人员" numFmtId="0">
      <sharedItems containsString="0" containsBlank="1" containsNonDate="0" count="1">
        <m/>
      </sharedItems>
    </cacheField>
    <cacheField name="税率" numFmtId="0">
      <sharedItems containsSemiMixedTypes="0" containsString="0" containsNumber="1" minValue="0" maxValue="0.13" count="1">
        <n v="0.13"/>
      </sharedItems>
    </cacheField>
    <cacheField name="款项类型" numFmtId="0">
      <sharedItems containsString="0" containsBlank="1" containsNonDate="0" count="1">
        <m/>
      </sharedItems>
    </cacheField>
    <cacheField name="发货日期" numFmtId="0">
      <sharedItems count="2">
        <s v="20231230"/>
        <s v="20231227"/>
      </sharedItems>
    </cacheField>
    <cacheField name="口味" numFmtId="0">
      <sharedItems containsString="0" containsBlank="1" containsNonDate="0" count="1">
        <m/>
      </sharedItems>
    </cacheField>
    <cacheField name="规格" numFmtId="0">
      <sharedItems count="3">
        <s v="267g"/>
        <s v="228g"/>
        <s v="240g"/>
      </sharedItems>
    </cacheField>
    <cacheField name="单位" numFmtId="0">
      <sharedItems count="1">
        <s v="盒"/>
      </sharedItems>
    </cacheField>
    <cacheField name="收入" numFmtId="0">
      <sharedItems containsString="0" containsBlank="1" containsNonDate="0" count="1">
        <m/>
      </sharedItems>
    </cacheField>
    <cacheField name="账期" numFmtId="0">
      <sharedItems containsBlank="1" count="2">
        <s v="未出库未结账"/>
        <m/>
      </sharedItems>
    </cacheField>
    <cacheField name="状态" numFmtId="0">
      <sharedItems containsBlank="1" count="2">
        <s v="未出库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27.5773263889" refreshedBy="admin" recordCount="6">
  <cacheSource type="worksheet">
    <worksheetSource ref="B9:BX15" sheet="1月 京东旗舰店明细"/>
  </cacheSource>
  <cacheFields count="75">
    <cacheField name="分类" numFmtId="0">
      <sharedItems count="2">
        <s v="发出商品"/>
        <s v="已出库"/>
      </sharedItems>
    </cacheField>
    <cacheField name="序号" numFmtId="0">
      <sharedItems containsString="0" containsBlank="1" containsNonDate="0" count="1">
        <m/>
      </sharedItems>
    </cacheField>
    <cacheField name="模块" numFmtId="0">
      <sharedItems count="1">
        <s v="自营"/>
      </sharedItems>
    </cacheField>
    <cacheField name="单据编号" numFmtId="0">
      <sharedItems count="2">
        <s v="LMYK202401200934"/>
        <s v="LMYK202401134505"/>
      </sharedItems>
    </cacheField>
    <cacheField name="网店订单号" numFmtId="0">
      <sharedItems containsString="0" containsBlank="1" containsNonDate="0" count="1">
        <m/>
      </sharedItems>
    </cacheField>
    <cacheField name="运输单号" numFmtId="0">
      <sharedItems count="2">
        <s v="LMYK202401200934"/>
        <s v="LMYK202401134505"/>
      </sharedItems>
    </cacheField>
    <cacheField name="发货组织" numFmtId="0">
      <sharedItems count="1">
        <s v="深圳榴芒"/>
      </sharedItems>
    </cacheField>
    <cacheField name="管理报表渠道" numFmtId="0">
      <sharedItems count="1">
        <s v="京东pop仓-sz"/>
      </sharedItems>
    </cacheField>
    <cacheField name="产品编码" numFmtId="0">
      <sharedItems count="2">
        <s v="280NHBFLH"/>
        <s v="280FXLHMH"/>
      </sharedItems>
    </cacheField>
    <cacheField name="产品名称" numFmtId="0">
      <sharedItems count="2">
        <s v="暴富礼盒280克二十枚(盲盒)"/>
        <s v="福星礼盒280克二十枚(盲盒)"/>
      </sharedItems>
    </cacheField>
    <cacheField name="分类2" numFmtId="0">
      <sharedItems count="1">
        <s v="年货常温干货"/>
      </sharedItems>
    </cacheField>
    <cacheField name="实发数量" numFmtId="0">
      <sharedItems containsSemiMixedTypes="0" containsString="0" containsNumber="1" containsInteger="1" minValue="0" maxValue="2016" count="5">
        <n v="2016"/>
        <n v="210"/>
        <n v="816"/>
        <n v="720"/>
        <n v="306"/>
      </sharedItems>
    </cacheField>
    <cacheField name="实发数量-更改" numFmtId="0">
      <sharedItems containsSemiMixedTypes="0" containsString="0" containsNumber="1" containsInteger="1" minValue="0" maxValue="2016" count="5">
        <n v="2016"/>
        <n v="210"/>
        <n v="816"/>
        <n v="720"/>
        <n v="306"/>
      </sharedItems>
    </cacheField>
    <cacheField name="箱装系数" numFmtId="0">
      <sharedItems containsSemiMixedTypes="0" containsString="0" containsNumber="1" containsInteger="1" minValue="0" maxValue="1" count="1">
        <n v="1"/>
      </sharedItems>
    </cacheField>
    <cacheField name="订单/报价收入" numFmtId="0">
      <sharedItems containsString="0" containsBlank="1" containsNonDate="0" count="1">
        <m/>
      </sharedItems>
    </cacheField>
    <cacheField name="换购金额" numFmtId="0">
      <sharedItems containsString="0" containsBlank="1" containsNumber="1" containsInteger="1" minValue="0" maxValue="0" count="2">
        <n v="0"/>
        <m/>
      </sharedItems>
    </cacheField>
    <cacheField name="种菜金额" numFmtId="0">
      <sharedItems containsString="0" containsBlank="1" containsNonDate="0" count="1">
        <m/>
      </sharedItems>
    </cacheField>
    <cacheField name="平台补贴预估金额" numFmtId="0">
      <sharedItems containsString="0" containsBlank="1" containsNonDate="0" count="1">
        <m/>
      </sharedItems>
    </cacheField>
    <cacheField name="平台补贴实际金额" numFmtId="0">
      <sharedItems containsString="0" containsBlank="1" containsNonDate="0" count="1">
        <m/>
      </sharedItems>
    </cacheField>
    <cacheField name="平台补贴差异" numFmtId="0">
      <sharedItems containsString="0" containsBlank="1" containsNonDate="0" count="1">
        <m/>
      </sharedItems>
    </cacheField>
    <cacheField name="账单/核对收入" numFmtId="0">
      <sharedItems containsString="0" containsBlank="1" containsNumber="1" containsInteger="1" minValue="0" maxValue="0" count="2">
        <n v="0"/>
        <m/>
      </sharedItems>
    </cacheField>
    <cacheField name="退款" numFmtId="0">
      <sharedItems containsString="0" containsBlank="1" containsNonDate="0" count="1">
        <m/>
      </sharedItems>
    </cacheField>
    <cacheField name="对账差异" numFmtId="0">
      <sharedItems containsString="0" containsBlank="1" containsNonDate="0" count="1">
        <m/>
      </sharedItems>
    </cacheField>
    <cacheField name="单品差异备注" numFmtId="0">
      <sharedItems containsString="0" containsBlank="1" containsNonDate="0" count="1">
        <m/>
      </sharedItems>
    </cacheField>
    <cacheField name="账单(滚动)/核对收入" numFmtId="0">
      <sharedItems containsString="0" containsBlank="1" containsNumber="1" containsInteger="1" minValue="0" maxValue="0" count="2">
        <n v="0"/>
        <m/>
      </sharedItems>
    </cacheField>
    <cacheField name="滚动退款" numFmtId="0">
      <sharedItems containsString="0" containsBlank="1" containsNonDate="0" count="1">
        <m/>
      </sharedItems>
    </cacheField>
    <cacheField name="滚动差异" numFmtId="0">
      <sharedItems containsString="0" containsBlank="1" containsNonDate="0" count="1">
        <m/>
      </sharedItems>
    </cacheField>
    <cacheField name="总成本不含税" numFmtId="0">
      <sharedItems containsSemiMixedTypes="0" containsString="0" containsNumber="1" minValue="0" maxValue="92575.35" count="6">
        <n v="92575.33"/>
        <n v="9643.26"/>
        <n v="37470.97"/>
        <n v="92575.35"/>
        <n v="33062.62"/>
        <n v="14051.62"/>
      </sharedItems>
    </cacheField>
    <cacheField name="总税额" numFmtId="0">
      <sharedItems containsSemiMixedTypes="0" containsString="0" containsNumber="1" minValue="0" maxValue="12034.91" count="6">
        <n v="12034.91"/>
        <n v="1253.64"/>
        <n v="4871.27"/>
        <n v="12034.89"/>
        <n v="4298.18"/>
        <n v="1826.72"/>
      </sharedItems>
    </cacheField>
    <cacheField name="总成本含税" numFmtId="0">
      <sharedItems containsSemiMixedTypes="0" containsString="0" containsNumber="1" minValue="0" maxValue="104610.24" count="5">
        <n v="104610.24"/>
        <n v="10896.9"/>
        <n v="42342.24"/>
        <n v="37360.8"/>
        <n v="15878.34"/>
      </sharedItems>
    </cacheField>
    <cacheField name="预估含税运费" numFmtId="0">
      <sharedItems containsString="0" containsBlank="1" containsNonDate="0" count="1">
        <m/>
      </sharedItems>
    </cacheField>
    <cacheField name="预估不含税运费" numFmtId="0">
      <sharedItems containsString="0" containsBlank="1" containsNonDate="0" count="1">
        <m/>
      </sharedItems>
    </cacheField>
    <cacheField name="预估运费税额" numFmtId="0">
      <sharedItems containsString="0" containsBlank="1" containsNonDate="0" count="1">
        <m/>
      </sharedItems>
    </cacheField>
    <cacheField name="含税运费未核对" numFmtId="0">
      <sharedItems containsString="0" containsBlank="1" containsNumber="1" containsInteger="1" minValue="0" maxValue="0" count="2">
        <n v="0"/>
        <m/>
      </sharedItems>
    </cacheField>
    <cacheField name="不含税运费未核对" numFmtId="0">
      <sharedItems containsString="0" containsBlank="1" containsNumber="1" containsInteger="1" minValue="0" maxValue="0" count="2">
        <n v="0"/>
        <m/>
      </sharedItems>
    </cacheField>
    <cacheField name="未核对运费税额" numFmtId="0">
      <sharedItems containsString="0" containsBlank="1" containsNumber="1" containsInteger="1" minValue="0" maxValue="0" count="2">
        <n v="0"/>
        <m/>
      </sharedItems>
    </cacheField>
    <cacheField name="含税运费已核对" numFmtId="0">
      <sharedItems containsString="0" containsBlank="1" containsNonDate="0" count="1">
        <m/>
      </sharedItems>
    </cacheField>
    <cacheField name="不含税运费已核对" numFmtId="0">
      <sharedItems containsString="0" containsBlank="1" containsNonDate="0" count="1">
        <m/>
      </sharedItems>
    </cacheField>
    <cacheField name="已核对运费税额" numFmtId="0">
      <sharedItems containsString="0" containsBlank="1" containsNonDate="0" count="1">
        <m/>
      </sharedItems>
    </cacheField>
    <cacheField name="未核对与预估差额含税" numFmtId="0">
      <sharedItems containsString="0" containsBlank="1" containsNonDate="0" count="1">
        <m/>
      </sharedItems>
    </cacheField>
    <cacheField name="未核对与预估差额不含税" numFmtId="0">
      <sharedItems containsString="0" containsBlank="1" containsNonDate="0" count="1">
        <m/>
      </sharedItems>
    </cacheField>
    <cacheField name="未核对与预估税额差额" numFmtId="0">
      <sharedItems containsString="0" containsBlank="1" containsNonDate="0" count="1">
        <m/>
      </sharedItems>
    </cacheField>
    <cacheField name="已核对与预估差额含税" numFmtId="0">
      <sharedItems containsString="0" containsBlank="1" containsNonDate="0" count="1">
        <m/>
      </sharedItems>
    </cacheField>
    <cacheField name="已核对与预估差额不含税" numFmtId="0">
      <sharedItems containsString="0" containsBlank="1" containsNonDate="0" count="1">
        <m/>
      </sharedItems>
    </cacheField>
    <cacheField name="已核对与预估税额差额" numFmtId="0">
      <sharedItems containsString="0" containsBlank="1" containsNonDate="0" count="1">
        <m/>
      </sharedItems>
    </cacheField>
    <cacheField name="已核对与未核对差额含税" numFmtId="0">
      <sharedItems containsString="0" containsBlank="1" containsNonDate="0" count="1">
        <m/>
      </sharedItems>
    </cacheField>
    <cacheField name="已核对与未核对差额不含税" numFmtId="0">
      <sharedItems containsString="0" containsBlank="1" containsNonDate="0" count="1">
        <m/>
      </sharedItems>
    </cacheField>
    <cacheField name="已核对与未核对税额差额" numFmtId="0">
      <sharedItems containsString="0" containsBlank="1" containsNonDate="0" count="1">
        <m/>
      </sharedItems>
    </cacheField>
    <cacheField name="订单状态" numFmtId="0">
      <sharedItems containsString="0" containsBlank="1" containsNonDate="0" count="1">
        <m/>
      </sharedItems>
    </cacheField>
    <cacheField name="订单类型" numFmtId="0">
      <sharedItems containsBlank="1" count="2">
        <s v="代发货(来自分销商)"/>
        <m/>
      </sharedItems>
    </cacheField>
    <cacheField name="料" numFmtId="0">
      <sharedItems containsSemiMixedTypes="0" containsString="0" containsNumber="1" minValue="0" maxValue="67090.5619319513" count="6">
        <n v="67075.018178601"/>
        <n v="6986.98106027095"/>
        <n v="27149.41211991"/>
        <n v="67090.5619319513"/>
        <n v="23960.9149756969"/>
        <n v="10183.3888646712"/>
      </sharedItems>
    </cacheField>
    <cacheField name="工" numFmtId="0">
      <sharedItems containsSemiMixedTypes="0" containsString="0" containsNumber="1" minValue="0" maxValue="1041.78327073733" count="6">
        <n v="1041.56163716906"/>
        <n v="108.496003871777"/>
        <n v="421.584472187477"/>
        <n v="1041.78327073733"/>
        <n v="372.065453834762"/>
        <n v="158.127817879774"/>
      </sharedItems>
    </cacheField>
    <cacheField name="费" numFmtId="0">
      <sharedItems containsSemiMixedTypes="0" containsString="0" containsNumber="1" minValue="0" maxValue="1405.92918196954" count="6">
        <n v="1405.63044908841"/>
        <n v="146.41983844671"/>
        <n v="568.945657964358"/>
        <n v="1405.92918196954"/>
        <n v="502.117564989122"/>
        <n v="213.399965120377"/>
      </sharedItems>
    </cacheField>
    <cacheField name="东莞成本含税" numFmtId="0">
      <sharedItems containsSemiMixedTypes="0" containsString="0" containsNumber="1" minValue="0" maxValue="77527.4184995152" count="6">
        <n v="77509.5034295663"/>
        <n v="8073.90660724648"/>
        <n v="31372.8942453006"/>
        <n v="77527.4184995152"/>
        <n v="27688.3637498269"/>
        <n v="11767.5545936764"/>
      </sharedItems>
    </cacheField>
    <cacheField name="东莞成本不含税" numFmtId="0">
      <sharedItems containsSemiMixedTypes="0" containsString="0" containsNumber="1" minValue="0" maxValue="69538.2743846583" count="6">
        <n v="69522.2102648582"/>
        <n v="7241.89690258941"/>
        <n v="28139.9422500617"/>
        <n v="69538.2743846583"/>
        <n v="24835.0979945208"/>
        <n v="10554.9166476714"/>
      </sharedItems>
    </cacheField>
    <cacheField name="账期状态" numFmtId="0">
      <sharedItems count="1">
        <s v="202401发货"/>
      </sharedItems>
    </cacheField>
    <cacheField name="跨月账期" numFmtId="0">
      <sharedItems containsString="0" containsBlank="1" containsNonDate="0" count="1">
        <m/>
      </sharedItems>
    </cacheField>
    <cacheField name="渠道组" numFmtId="0">
      <sharedItems count="1">
        <s v="京多事业部"/>
      </sharedItems>
    </cacheField>
    <cacheField name="季节性产品分类" numFmtId="0">
      <sharedItems count="1">
        <s v="年货"/>
      </sharedItems>
    </cacheField>
    <cacheField name="归属渠道" numFmtId="0">
      <sharedItems count="1">
        <s v="自营"/>
      </sharedItems>
    </cacheField>
    <cacheField name="东莞单价" numFmtId="0">
      <sharedItems containsString="0" containsBlank="1" containsNonDate="0" count="1">
        <m/>
      </sharedItems>
    </cacheField>
    <cacheField name="发货年月" numFmtId="0">
      <sharedItems containsNumber="1" containsInteger="1" containsMixedTypes="1" count="2">
        <s v="202401"/>
        <n v="202401"/>
      </sharedItems>
    </cacheField>
    <cacheField name="动账年月" numFmtId="0">
      <sharedItems containsString="0" containsBlank="1" containsNonDate="0" count="1">
        <m/>
      </sharedItems>
    </cacheField>
    <cacheField name="跨月动账年月" numFmtId="0">
      <sharedItems containsString="0" containsBlank="1" containsNonDate="0" count="1">
        <m/>
      </sharedItems>
    </cacheField>
    <cacheField name="区域/组别" numFmtId="0">
      <sharedItems containsString="0" containsBlank="1" containsNonDate="0" count="1">
        <m/>
      </sharedItems>
    </cacheField>
    <cacheField name="销售人员" numFmtId="0">
      <sharedItems containsString="0" containsBlank="1" containsNonDate="0" count="1">
        <m/>
      </sharedItems>
    </cacheField>
    <cacheField name="税率" numFmtId="0">
      <sharedItems containsSemiMixedTypes="0" containsString="0" containsNumber="1" minValue="0" maxValue="0.13" count="1">
        <n v="0.13"/>
      </sharedItems>
    </cacheField>
    <cacheField name="款项类型" numFmtId="0">
      <sharedItems containsString="0" containsBlank="1" containsNonDate="0" count="1">
        <m/>
      </sharedItems>
    </cacheField>
    <cacheField name="发货日期" numFmtId="0">
      <sharedItems count="2">
        <s v="20240120"/>
        <s v="20240116"/>
      </sharedItems>
    </cacheField>
    <cacheField name="口味" numFmtId="0">
      <sharedItems containsString="0" containsBlank="1" containsNonDate="0" count="1">
        <m/>
      </sharedItems>
    </cacheField>
    <cacheField name="规格" numFmtId="0">
      <sharedItems count="1">
        <s v="267g"/>
      </sharedItems>
    </cacheField>
    <cacheField name="单位" numFmtId="0">
      <sharedItems count="1">
        <s v="盒"/>
      </sharedItems>
    </cacheField>
    <cacheField name="收入" numFmtId="0">
      <sharedItems containsString="0" containsBlank="1" containsNumber="1" minValue="0" maxValue="69214" count="3">
        <m/>
        <n v="69214"/>
        <n v="25709.47"/>
      </sharedItems>
    </cacheField>
    <cacheField name="账期" numFmtId="0">
      <sharedItems containsBlank="1" count="2">
        <m/>
        <s v="1月发货1月结账"/>
      </sharedItems>
    </cacheField>
    <cacheField name="状态" numFmtId="0">
      <sharedItems count="2">
        <s v="发出商品"/>
        <s v="已结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27.5826967593" refreshedBy="admin" recordCount="64">
  <cacheSource type="worksheet">
    <worksheetSource ref="A1:BV65" sheet="1月 京东自营店明细"/>
  </cacheSource>
  <cacheFields count="74">
    <cacheField name="序号" numFmtId="0">
      <sharedItems containsSemiMixedTypes="0" containsString="0" containsNumber="1" containsInteger="1" minValue="0" maxValue="210442" count="64">
        <n v="159542"/>
        <n v="159543"/>
        <n v="159544"/>
        <n v="159545"/>
        <n v="159546"/>
        <n v="161682"/>
        <n v="161683"/>
        <n v="161684"/>
        <n v="161685"/>
        <n v="161686"/>
        <n v="161687"/>
        <n v="161688"/>
        <n v="161689"/>
        <n v="161690"/>
        <n v="161691"/>
        <n v="169442"/>
        <n v="169443"/>
        <n v="169444"/>
        <n v="169445"/>
        <n v="169446"/>
        <n v="169447"/>
        <n v="169448"/>
        <n v="169449"/>
        <n v="184872"/>
        <n v="184873"/>
        <n v="184874"/>
        <n v="184875"/>
        <n v="184876"/>
        <n v="188240"/>
        <n v="188241"/>
        <n v="188242"/>
        <n v="188330"/>
        <n v="188331"/>
        <n v="188332"/>
        <n v="188333"/>
        <n v="188334"/>
        <n v="188335"/>
        <n v="188336"/>
        <n v="188337"/>
        <n v="188338"/>
        <n v="189511"/>
        <n v="193226"/>
        <n v="193235"/>
        <n v="193244"/>
        <n v="193651"/>
        <n v="193652"/>
        <n v="193654"/>
        <n v="193655"/>
        <n v="193656"/>
        <n v="193657"/>
        <n v="193658"/>
        <n v="193659"/>
        <n v="193660"/>
        <n v="193662"/>
        <n v="193663"/>
        <n v="193683"/>
        <n v="193684"/>
        <n v="193685"/>
        <n v="193686"/>
        <n v="193687"/>
        <n v="193688"/>
        <n v="208641"/>
        <n v="210441"/>
        <n v="210442"/>
      </sharedItems>
    </cacheField>
    <cacheField name="模块" numFmtId="0">
      <sharedItems count="1">
        <s v="自营"/>
      </sharedItems>
    </cacheField>
    <cacheField name="单据编号" numFmtId="0">
      <sharedItems count="38">
        <s v="LMYK202401221543"/>
        <s v="LMYK202401230894"/>
        <s v="LMYK202401230895"/>
        <s v="LMYK202401080674"/>
        <s v="LMYK202401080675"/>
        <s v="LMYK202401080676"/>
        <s v="LMYK202401080677"/>
        <s v="LMYK202401080678"/>
        <s v="LMYK202401080679"/>
        <s v="LMYK202401080680"/>
        <s v="LMYK202401080681"/>
        <s v="LMYK202401120577"/>
        <s v="LMYK202401140905"/>
        <s v="LMYK202401141712"/>
        <s v="LMYK202401232727"/>
        <s v="LMYK202401272698"/>
        <s v="LMYK202401272705"/>
        <s v="LMYK202401272714"/>
        <s v="LMYK202401273467"/>
        <s v="LMYK202401273468"/>
        <s v="LMYK202401273484"/>
        <s v="LMYK202401273485"/>
        <s v="LMYK202401273486"/>
        <s v="LMYK202401273487"/>
        <s v="LMYK202401273488"/>
        <s v="LMYK202401273489"/>
        <s v="LMYK202401273490"/>
        <s v="LMYK202401273504"/>
        <s v="LMYK202401273505"/>
        <s v="LMYK202401273569"/>
        <s v="LMYK202401273570"/>
        <s v="LMYK202401273571"/>
        <s v="LMYK202401273572"/>
        <s v="LMYK202401273573"/>
        <s v="LMYK202401273574"/>
        <s v="LMYK202401164729"/>
        <s v="LMYK202401170950"/>
        <s v="LMYK202401170951"/>
      </sharedItems>
    </cacheField>
    <cacheField name="网店订单号" numFmtId="0">
      <sharedItems containsString="0" containsBlank="1" containsNonDate="0" count="1">
        <m/>
      </sharedItems>
    </cacheField>
    <cacheField name="运输单号" numFmtId="0">
      <sharedItems count="38">
        <s v="LMYK202401221543"/>
        <s v="LMYK202401230894"/>
        <s v="LMYK202401230895"/>
        <s v="SF1669175162259"/>
        <s v="SF1669175162859"/>
        <s v="JDVC22572641668"/>
        <s v="JDVC22572565365"/>
        <s v="SF1631373171983"/>
        <s v="SF1642786514217"/>
        <s v="SF1620134618562"/>
        <s v="SF1384252104810"/>
        <s v="LMYK202401120577"/>
        <s v="LMYK202401140905"/>
        <s v="LMYK202401141712"/>
        <s v="SF1640520718295"/>
        <s v="SF1685355987955"/>
        <s v="SF1651414240651"/>
        <s v="SF1389463180218"/>
        <s v="SF1674503366046"/>
        <s v="SF1645569288275"/>
        <s v="SF1647649200274"/>
        <s v="SF1662186556708"/>
        <s v="SF1619218120527"/>
        <s v="SF1695933988210"/>
        <s v="SF1683354445286"/>
        <s v="SF1647649224277"/>
        <s v="SF1695935988216"/>
        <s v="JDVC22886394725"/>
        <s v="JDVC22886394716"/>
        <s v="SF1685345924439"/>
        <s v="SF1685325924332"/>
        <s v="SF1685325924932"/>
        <s v="SF1685345924236"/>
        <s v="SF1685325924535"/>
        <s v="SF1685325924738"/>
        <s v="SF1624160155902"/>
        <s v="LMYK202401170950"/>
        <s v="LMYK202401170951"/>
      </sharedItems>
    </cacheField>
    <cacheField name="发货组织" numFmtId="0">
      <sharedItems count="1">
        <s v="深圳榴芒"/>
      </sharedItems>
    </cacheField>
    <cacheField name="管理报表渠道" numFmtId="0">
      <sharedItems count="1">
        <s v="京东入仓-sz"/>
      </sharedItems>
    </cacheField>
    <cacheField name="产品编码" numFmtId="0">
      <sharedItems count="9">
        <s v="280FXLHMH"/>
        <s v="280NHBFLH"/>
        <s v="MSWBQL75G"/>
        <s v="216NHXHYJGQKL"/>
        <s v="240FXLLJG"/>
        <s v="240NHBFLLJG"/>
        <s v="96NHBFLLJGLH"/>
        <s v="MSWBQL70G"/>
        <s v="JD280NHBFLH"/>
      </sharedItems>
    </cacheField>
    <cacheField name="产品名称" numFmtId="0">
      <sharedItems count="9">
        <s v="福星礼盒280克二十枚(盲盒)"/>
        <s v="暴富礼盒280克二十枚(盲盒)"/>
        <s v="猫山王榴莲冰淇淋(杯)"/>
        <s v="小黄鸭坚果巧克力礼盒216克二十枚(盲盒)"/>
        <s v="福星榴莲坚果礼盒240克二十枚"/>
        <s v="暴富榴莲坚果礼盒240克二十枚"/>
        <s v="暴富榴莲坚果礼盒96克八枚"/>
        <s v="猫山王榴莲冰淇淋(条)"/>
        <s v="暴富礼盒267克二十枚(盲盒)-京东贴码"/>
      </sharedItems>
    </cacheField>
    <cacheField name="分类" numFmtId="0">
      <sharedItems count="2">
        <s v="年货常温干货"/>
        <s v="冰淇淋"/>
      </sharedItems>
    </cacheField>
    <cacheField name="实发数量" numFmtId="0">
      <sharedItems containsSemiMixedTypes="0" containsString="0" containsNumber="1" containsInteger="1" minValue="0" maxValue="3006" count="23">
        <n v="1440"/>
        <n v="360"/>
        <n v="720"/>
        <n v="1800"/>
        <n v="324"/>
        <n v="24"/>
        <n v="576"/>
        <n v="416"/>
        <n v="736"/>
        <n v="918"/>
        <n v="1062"/>
        <n v="288"/>
        <n v="192"/>
        <n v="352"/>
        <n v="704"/>
        <n v="480"/>
        <n v="512"/>
        <n v="1080"/>
        <n v="126"/>
        <n v="1"/>
        <n v="48"/>
        <n v="3006"/>
        <n v="2988"/>
      </sharedItems>
    </cacheField>
    <cacheField name="实发数量-更改" numFmtId="0">
      <sharedItems containsSemiMixedTypes="0" containsString="0" containsNumber="1" containsInteger="1" minValue="0" maxValue="3006" count="23">
        <n v="1440"/>
        <n v="360"/>
        <n v="720"/>
        <n v="1800"/>
        <n v="324"/>
        <n v="24"/>
        <n v="576"/>
        <n v="416"/>
        <n v="736"/>
        <n v="918"/>
        <n v="1062"/>
        <n v="288"/>
        <n v="192"/>
        <n v="352"/>
        <n v="704"/>
        <n v="480"/>
        <n v="512"/>
        <n v="1080"/>
        <n v="126"/>
        <n v="1"/>
        <n v="48"/>
        <n v="3006"/>
        <n v="2988"/>
      </sharedItems>
    </cacheField>
    <cacheField name="箱装系数" numFmtId="0">
      <sharedItems containsSemiMixedTypes="0" containsString="0" containsNumber="1" containsInteger="1" minValue="0" maxValue="1" count="1">
        <n v="1"/>
      </sharedItems>
    </cacheField>
    <cacheField name="订单/报价收入" numFmtId="0">
      <sharedItems containsString="0" containsBlank="1" containsNonDate="0" count="1">
        <m/>
      </sharedItems>
    </cacheField>
    <cacheField name="换购金额" numFmtId="0">
      <sharedItems containsSemiMixedTypes="0" containsString="0" containsNumber="1" containsInteger="1" minValue="0" maxValue="0" count="1">
        <n v="0"/>
      </sharedItems>
    </cacheField>
    <cacheField name="种菜金额" numFmtId="0">
      <sharedItems containsString="0" containsBlank="1" containsNonDate="0" count="1">
        <m/>
      </sharedItems>
    </cacheField>
    <cacheField name="平台补贴预估金额" numFmtId="0">
      <sharedItems containsString="0" containsBlank="1" containsNonDate="0" count="1">
        <m/>
      </sharedItems>
    </cacheField>
    <cacheField name="平台补贴实际金额" numFmtId="0">
      <sharedItems containsString="0" containsBlank="1" containsNonDate="0" count="1">
        <m/>
      </sharedItems>
    </cacheField>
    <cacheField name="平台补贴差异" numFmtId="0">
      <sharedItems containsString="0" containsBlank="1" containsNonDate="0" count="1">
        <m/>
      </sharedItems>
    </cacheField>
    <cacheField name="账单/核对收入" numFmtId="0">
      <sharedItems containsSemiMixedTypes="0" containsString="0" containsNumber="1" containsInteger="1" minValue="0" maxValue="0" count="1">
        <n v="0"/>
      </sharedItems>
    </cacheField>
    <cacheField name="退款" numFmtId="0">
      <sharedItems containsString="0" containsBlank="1" containsNonDate="0" count="1">
        <m/>
      </sharedItems>
    </cacheField>
    <cacheField name="对账差异" numFmtId="0">
      <sharedItems containsString="0" containsBlank="1" containsNonDate="0" count="1">
        <m/>
      </sharedItems>
    </cacheField>
    <cacheField name="单品差异备注" numFmtId="0">
      <sharedItems containsString="0" containsBlank="1" containsNonDate="0" count="1">
        <m/>
      </sharedItems>
    </cacheField>
    <cacheField name="账单(滚动)/核对收入" numFmtId="0">
      <sharedItems containsSemiMixedTypes="0" containsString="0" containsNumber="1" containsInteger="1" minValue="0" maxValue="0" count="1">
        <n v="0"/>
      </sharedItems>
    </cacheField>
    <cacheField name="滚动退款" numFmtId="0">
      <sharedItems containsString="0" containsBlank="1" containsNonDate="0" count="1">
        <m/>
      </sharedItems>
    </cacheField>
    <cacheField name="滚动差异" numFmtId="0">
      <sharedItems containsString="0" containsBlank="1" containsNonDate="0" count="1">
        <m/>
      </sharedItems>
    </cacheField>
    <cacheField name="总成本不含税" numFmtId="0">
      <sharedItems containsSemiMixedTypes="0" containsString="0" containsNumber="1" minValue="0" maxValue="138036.45" count="26">
        <n v="66125.25"/>
        <n v="16531.31"/>
        <n v="33062.62"/>
        <n v="82656.56"/>
        <n v="82656.54"/>
        <n v="14878.18"/>
        <n v="95.58"/>
        <n v="25318.65"/>
        <n v="18366.47"/>
        <n v="32494.6"/>
        <n v="42154.85"/>
        <n v="48767.36"/>
        <n v="12659.33"/>
        <n v="8476.83"/>
        <n v="15540.9"/>
        <n v="30945.02"/>
        <n v="21192.08"/>
        <n v="18366.51"/>
        <n v="22604.94"/>
        <n v="49593.94"/>
        <n v="49593.93"/>
        <n v="5785.96"/>
        <n v="18.19"/>
        <n v="191.15"/>
        <n v="138036.45"/>
        <n v="137210.02"/>
      </sharedItems>
    </cacheField>
    <cacheField name="总税额" numFmtId="0">
      <sharedItems containsSemiMixedTypes="0" containsString="0" containsNumber="1" minValue="0" maxValue="17944.89" count="26">
        <n v="8596.35000000001"/>
        <n v="2149.09"/>
        <n v="4298.18"/>
        <n v="10745.44"/>
        <n v="10745.46"/>
        <n v="1934.18"/>
        <n v="12.42"/>
        <n v="3291.27"/>
        <n v="2387.77"/>
        <n v="4224.44"/>
        <n v="5480.17"/>
        <n v="6339.82"/>
        <n v="1645.63"/>
        <n v="1102.05"/>
        <n v="2020.38"/>
        <n v="4022.66"/>
        <n v="2755.12"/>
        <n v="2387.73"/>
        <n v="2938.74"/>
        <n v="6447.25999999999"/>
        <n v="6447.27"/>
        <n v="752.18"/>
        <n v="2.37"/>
        <n v="24.85"/>
        <n v="17944.89"/>
        <n v="17837.3"/>
      </sharedItems>
    </cacheField>
    <cacheField name="总成本含税" numFmtId="0">
      <sharedItems containsSemiMixedTypes="0" containsString="0" containsNumber="1" minValue="0" maxValue="155981.34" count="23">
        <n v="74721.6"/>
        <n v="18680.4"/>
        <n v="37360.8"/>
        <n v="93402"/>
        <n v="16812.36"/>
        <n v="108"/>
        <n v="28609.92"/>
        <n v="20754.24"/>
        <n v="36719.04"/>
        <n v="47635.02"/>
        <n v="55107.18"/>
        <n v="14304.96"/>
        <n v="9578.88"/>
        <n v="17561.28"/>
        <n v="34967.68"/>
        <n v="23947.2"/>
        <n v="25543.68"/>
        <n v="56041.2"/>
        <n v="6538.14"/>
        <n v="20.56"/>
        <n v="216"/>
        <n v="155981.34"/>
        <n v="155047.32"/>
      </sharedItems>
    </cacheField>
    <cacheField name="预估含税运费" numFmtId="0">
      <sharedItems containsString="0" containsBlank="1" containsNonDate="0" count="1">
        <m/>
      </sharedItems>
    </cacheField>
    <cacheField name="预估不含税运费" numFmtId="0">
      <sharedItems containsString="0" containsBlank="1" containsNonDate="0" count="1">
        <m/>
      </sharedItems>
    </cacheField>
    <cacheField name="预估运费税额" numFmtId="0">
      <sharedItems containsString="0" containsBlank="1" containsNonDate="0" count="1">
        <m/>
      </sharedItems>
    </cacheField>
    <cacheField name="含税运费未核对" numFmtId="0">
      <sharedItems containsSemiMixedTypes="0" containsString="0" containsNumber="1" minValue="0" maxValue="35.33" count="4">
        <n v="0"/>
        <n v="17.66"/>
        <n v="3.36"/>
        <n v="35.33"/>
      </sharedItems>
    </cacheField>
    <cacheField name="不含税运费未核对" numFmtId="0">
      <sharedItems containsSemiMixedTypes="0" containsString="0" containsNumber="1" minValue="0" maxValue="33.33" count="4">
        <n v="0"/>
        <n v="16.66"/>
        <n v="3.17"/>
        <n v="33.33"/>
      </sharedItems>
    </cacheField>
    <cacheField name="未核对运费税额" numFmtId="0">
      <sharedItems containsSemiMixedTypes="0" containsString="0" containsNumber="1" minValue="0" maxValue="2" count="4">
        <n v="0"/>
        <n v="1"/>
        <n v="0.19"/>
        <n v="2"/>
      </sharedItems>
    </cacheField>
    <cacheField name="含税运费已核对" numFmtId="0">
      <sharedItems containsString="0" containsBlank="1" containsNonDate="0" count="1">
        <m/>
      </sharedItems>
    </cacheField>
    <cacheField name="不含税运费已核对" numFmtId="0">
      <sharedItems containsString="0" containsBlank="1" containsNonDate="0" count="1">
        <m/>
      </sharedItems>
    </cacheField>
    <cacheField name="已核对运费税额" numFmtId="0">
      <sharedItems containsString="0" containsBlank="1" containsNonDate="0" count="1">
        <m/>
      </sharedItems>
    </cacheField>
    <cacheField name="未核对与预估差额含税" numFmtId="0">
      <sharedItems containsString="0" containsBlank="1" containsNonDate="0" count="1">
        <m/>
      </sharedItems>
    </cacheField>
    <cacheField name="未核对与预估差额不含税" numFmtId="0">
      <sharedItems containsString="0" containsBlank="1" containsNonDate="0" count="1">
        <m/>
      </sharedItems>
    </cacheField>
    <cacheField name="未核对与预估税额差额" numFmtId="0">
      <sharedItems containsString="0" containsBlank="1" containsNonDate="0" count="1">
        <m/>
      </sharedItems>
    </cacheField>
    <cacheField name="已核对与预估差额含税" numFmtId="0">
      <sharedItems containsString="0" containsBlank="1" containsNonDate="0" count="1">
        <m/>
      </sharedItems>
    </cacheField>
    <cacheField name="已核对与预估差额不含税" numFmtId="0">
      <sharedItems containsString="0" containsBlank="1" containsNonDate="0" count="1">
        <m/>
      </sharedItems>
    </cacheField>
    <cacheField name="已核对与预估税额差额" numFmtId="0">
      <sharedItems containsString="0" containsBlank="1" containsNonDate="0" count="1">
        <m/>
      </sharedItems>
    </cacheField>
    <cacheField name="已核对与未核对差额含税" numFmtId="0">
      <sharedItems containsString="0" containsBlank="1" containsNonDate="0" count="1">
        <m/>
      </sharedItems>
    </cacheField>
    <cacheField name="已核对与未核对差额不含税" numFmtId="0">
      <sharedItems containsString="0" containsBlank="1" containsNonDate="0" count="1">
        <m/>
      </sharedItems>
    </cacheField>
    <cacheField name="已核对与未核对税额差额" numFmtId="0">
      <sharedItems containsString="0" containsBlank="1" containsNonDate="0" count="1">
        <m/>
      </sharedItems>
    </cacheField>
    <cacheField name="订单状态" numFmtId="0">
      <sharedItems containsString="0" containsBlank="1" containsNonDate="0" count="1">
        <m/>
      </sharedItems>
    </cacheField>
    <cacheField name="订单类型" numFmtId="0">
      <sharedItems count="1">
        <s v="代发货(来自分销商)"/>
      </sharedItems>
    </cacheField>
    <cacheField name="料" numFmtId="0">
      <sharedItems containsSemiMixedTypes="0" containsString="0" containsNumber="1" minValue="0" maxValue="100036.820023535" count="29">
        <n v="47921.8299513938"/>
        <n v="11980.4574878484"/>
        <n v="23955.3636352146"/>
        <n v="11977.6818176073"/>
        <n v="59902.2874392422"/>
        <n v="59888.4090880366"/>
        <n v="10782.4117390636"/>
        <n v="10779.9136358466"/>
        <n v="84.9734812950463"/>
        <n v="17682.2390725755"/>
        <n v="13633.9930077492"/>
        <n v="24192.8648001135"/>
        <n v="30550.1665940135"/>
        <n v="35334.1613619416"/>
        <n v="8841.11953628775"/>
        <n v="6292.61215742269"/>
        <n v="11570.500556576"/>
        <n v="21611.6255331478"/>
        <n v="15731.5303935567"/>
        <n v="13674.2279304989"/>
        <n v="16829.8189913833"/>
        <n v="35941.3724635453"/>
        <n v="35933.045452822"/>
        <n v="4192.18863616256"/>
        <n v="12.6176704640148"/>
        <n v="178.586738049713"/>
        <n v="169.946962590093"/>
        <n v="100036.820023535"/>
        <n v="99291.5197891171"/>
      </sharedItems>
    </cacheField>
    <cacheField name="工" numFmtId="0">
      <sharedItems containsSemiMixedTypes="0" containsString="0" containsNumber="1" minValue="0" maxValue="1553.37326976013" count="27">
        <n v="744.130907669524"/>
        <n v="186.032726917381"/>
        <n v="371.98629898895"/>
        <n v="185.993149494475"/>
        <n v="930.163634586905"/>
        <n v="929.965747472375"/>
        <n v="167.429454225643"/>
        <n v="167.393834545028"/>
        <n v="0"/>
        <n v="304.453382730365"/>
        <n v="214.024267326832"/>
        <n v="379.764643202814"/>
        <n v="474.383453639322"/>
        <n v="548.679791008701"/>
        <n v="152.226691365183"/>
        <n v="98.7804310739227"/>
        <n v="181.626568488302"/>
        <n v="372.10969000378"/>
        <n v="246.951077684807"/>
        <n v="214.649580940721"/>
        <n v="264.184099619349"/>
        <n v="558.098180752143"/>
        <n v="557.979448483425"/>
        <n v="65.0976023230663"/>
        <n v="0.280432037911275"/>
        <n v="1553.37326976013"/>
        <n v="1540.18936771903"/>
      </sharedItems>
    </cacheField>
    <cacheField name="费" numFmtId="0">
      <sharedItems containsSemiMixedTypes="0" containsString="0" containsNumber="1" minValue="0" maxValue="2096.34083382958" count="27">
        <n v="1004.23512997824"/>
        <n v="251.058782494561"/>
        <n v="502.010874674433"/>
        <n v="251.005437337217"/>
        <n v="1255.2939124728"/>
        <n v="1255.02718668608"/>
        <n v="225.952904245105"/>
        <n v="225.904893603495"/>
        <n v="0"/>
        <n v="410.87264441352"/>
        <n v="288.834001468802"/>
        <n v="512.512275139904"/>
        <n v="640.19989536113"/>
        <n v="740.466040144789"/>
        <n v="205.43632220676"/>
        <n v="133.308000677909"/>
        <n v="245.114566371258"/>
        <n v="502.177676505413"/>
        <n v="333.270001694772"/>
        <n v="289.680851166033"/>
        <n v="356.530278358194"/>
        <n v="753.176347483683"/>
        <n v="753.01631201165"/>
        <n v="87.8519030680258"/>
        <n v="0.378452715892014"/>
        <n v="2096.34083382958"/>
        <n v="2078.53596879501"/>
      </sharedItems>
    </cacheField>
    <cacheField name="东莞成本含税" numFmtId="0">
      <sharedItems containsSemiMixedTypes="0" containsString="0" containsNumber="1" minValue="0" maxValue="115598.918655527" count="29">
        <n v="55376.7274996537"/>
        <n v="13844.1818749134"/>
        <n v="27681.9655105594"/>
        <n v="13840.9827552797"/>
        <n v="69220.9093745671"/>
        <n v="69204.9137763985"/>
        <n v="12459.7636874221"/>
        <n v="12456.8844797517"/>
        <n v="95.0921234476605"/>
        <n v="20503.1661284817"/>
        <n v="15760.3871639075"/>
        <n v="27966.0280588538"/>
        <n v="35302.6637810292"/>
        <n v="40830.8991280751"/>
        <n v="10251.5830642408"/>
        <n v="7274.0248448804"/>
        <n v="13375.0568977127"/>
        <n v="25059.4252681443"/>
        <n v="18185.062112201"/>
        <n v="15806.8854245695"/>
        <n v="19454.6282148548"/>
        <n v="41532.5456247403"/>
        <n v="41522.9482658391"/>
        <n v="4844.34396434789"/>
        <n v="14.7790674166729"/>
        <n v="199.852846816673"/>
        <n v="190.184246895321"/>
        <n v="115598.918655527"/>
        <n v="114733.879302119"/>
      </sharedItems>
    </cacheField>
    <cacheField name="东莞成本不含税" numFmtId="0">
      <sharedItems containsSemiMixedTypes="0" containsString="0" containsNumber="1" minValue="0" maxValue="103686.534127124" count="29">
        <n v="49670.1959890417"/>
        <n v="12417.5489972604"/>
        <n v="24829.3608088779"/>
        <n v="12414.680404439"/>
        <n v="62087.7449863021"/>
        <n v="62073.4020221948"/>
        <n v="11175.7940975344"/>
        <n v="11173.2123639951"/>
        <n v="84.9734812950463"/>
        <n v="18397.5650997194"/>
        <n v="14136.8512765447"/>
        <n v="25085.1417184563"/>
        <n v="31664.7499430141"/>
        <n v="36623.307193095"/>
        <n v="9198.7825498597"/>
        <n v="6524.7005891745"/>
        <n v="11997.2416914356"/>
        <n v="22485.912899657"/>
        <n v="16311.7514729362"/>
        <n v="14178.5583626057"/>
        <n v="17450.5333693609"/>
        <n v="37252.6469917812"/>
        <n v="37244.0412133169"/>
        <n v="4345.13814155364"/>
        <n v="13.276555217818"/>
        <n v="178.586738049713"/>
        <n v="169.946962590093"/>
        <n v="103686.534127124"/>
        <n v="102910.245125631"/>
      </sharedItems>
    </cacheField>
    <cacheField name="账期状态" numFmtId="0">
      <sharedItems count="1">
        <s v="202401发货"/>
      </sharedItems>
    </cacheField>
    <cacheField name="跨月账期" numFmtId="0">
      <sharedItems containsString="0" containsBlank="1" containsNonDate="0" count="1">
        <m/>
      </sharedItems>
    </cacheField>
    <cacheField name="渠道组" numFmtId="0">
      <sharedItems count="1">
        <s v="京多事业部"/>
      </sharedItems>
    </cacheField>
    <cacheField name="季节性产品分类" numFmtId="0">
      <sharedItems count="2">
        <s v="年货"/>
        <s v="其他"/>
      </sharedItems>
    </cacheField>
    <cacheField name="归属渠道" numFmtId="0">
      <sharedItems count="1">
        <s v="自营"/>
      </sharedItems>
    </cacheField>
    <cacheField name="东莞单价" numFmtId="0">
      <sharedItems containsString="0" containsBlank="1" containsNonDate="0" count="1">
        <m/>
      </sharedItems>
    </cacheField>
    <cacheField name="发货年月" numFmtId="0">
      <sharedItems count="1">
        <s v="202401"/>
      </sharedItems>
    </cacheField>
    <cacheField name="动账年月" numFmtId="0">
      <sharedItems containsString="0" containsBlank="1" containsNonDate="0" count="1">
        <m/>
      </sharedItems>
    </cacheField>
    <cacheField name="跨月动账年月" numFmtId="0">
      <sharedItems containsString="0" containsBlank="1" containsNonDate="0" count="1">
        <m/>
      </sharedItems>
    </cacheField>
    <cacheField name="区域/组别" numFmtId="0">
      <sharedItems containsString="0" containsBlank="1" containsNonDate="0" count="1">
        <m/>
      </sharedItems>
    </cacheField>
    <cacheField name="销售人员" numFmtId="0">
      <sharedItems containsString="0" containsBlank="1" containsNonDate="0" count="1">
        <m/>
      </sharedItems>
    </cacheField>
    <cacheField name="税率" numFmtId="0">
      <sharedItems containsSemiMixedTypes="0" containsString="0" containsNumber="1" minValue="0" maxValue="0.13" count="1">
        <n v="0.13"/>
      </sharedItems>
    </cacheField>
    <cacheField name="款项类型" numFmtId="0">
      <sharedItems containsString="0" containsBlank="1" containsNonDate="0" count="1">
        <m/>
      </sharedItems>
    </cacheField>
    <cacheField name="发货日期" numFmtId="0">
      <sharedItems count="10">
        <s v="20240122"/>
        <s v="20240123"/>
        <s v="20240124"/>
        <s v="20240108"/>
        <s v="20240113"/>
        <s v="20240117"/>
        <s v="20240114"/>
        <s v="20240127"/>
        <s v="20240116"/>
        <s v="20240118"/>
      </sharedItems>
    </cacheField>
    <cacheField name="口味" numFmtId="0">
      <sharedItems containsBlank="1" count="2">
        <m/>
        <s v="猫山王"/>
      </sharedItems>
    </cacheField>
    <cacheField name="规格" numFmtId="0">
      <sharedItems count="6">
        <s v="267g"/>
        <s v="75g*1盒"/>
        <s v="228g"/>
        <s v="240g"/>
        <s v="96g"/>
        <s v="70g*1盒"/>
      </sharedItems>
    </cacheField>
    <cacheField name="单位" numFmtId="0">
      <sharedItems count="2">
        <s v="盒"/>
        <s v="Pcs"/>
      </sharedItems>
    </cacheField>
    <cacheField name="收入（入账）" numFmtId="0">
      <sharedItems containsSemiMixedTypes="0" containsString="0" containsNumber="1" minValue="0" maxValue="297594" count="26">
        <n v="142560"/>
        <n v="35640"/>
        <n v="71280"/>
        <n v="0"/>
        <n v="32076"/>
        <n v="478.52"/>
        <n v="57024"/>
        <n v="41184"/>
        <n v="72864"/>
        <n v="90882"/>
        <n v="105138"/>
        <n v="28512"/>
        <n v="19008"/>
        <n v="34848"/>
        <n v="69696"/>
        <n v="47520"/>
        <n v="50688"/>
        <n v="106920"/>
        <n v="12474"/>
        <n v="58"/>
        <n v="633.33"/>
        <n v="633.34"/>
        <n v="478.51"/>
        <n v="957.03"/>
        <n v="297594"/>
        <n v="295812"/>
      </sharedItems>
    </cacheField>
    <cacheField name="账期（入账）" numFmtId="0">
      <sharedItems count="3">
        <s v="1月京仓发货1月结账"/>
        <s v="未出库"/>
        <s v="已做退货"/>
      </sharedItems>
    </cacheField>
    <cacheField name="状态" numFmtId="0">
      <sharedItems count="2">
        <s v="1月出库-京东入仓"/>
        <s v="京东入仓发出商品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2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0"/>
    <x v="1"/>
    <x v="2"/>
    <x v="2"/>
    <x v="0"/>
    <x v="3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1"/>
    <x v="1"/>
  </r>
  <r>
    <x v="0"/>
    <x v="1"/>
    <x v="0"/>
    <x v="1"/>
    <x v="0"/>
    <x v="1"/>
    <x v="3"/>
    <x v="3"/>
    <x v="0"/>
    <x v="4"/>
    <x v="0"/>
    <x v="0"/>
    <x v="0"/>
    <x v="0"/>
    <x v="0"/>
    <x v="0"/>
    <x v="0"/>
    <x v="0"/>
    <x v="0"/>
    <x v="0"/>
    <x v="0"/>
    <x v="0"/>
    <x v="0"/>
    <x v="0"/>
    <x v="4"/>
    <x v="4"/>
    <x v="4"/>
    <x v="4"/>
    <x v="4"/>
    <x v="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1"/>
    <x v="1"/>
  </r>
  <r>
    <x v="0"/>
    <x v="1"/>
    <x v="0"/>
    <x v="1"/>
    <x v="0"/>
    <x v="1"/>
    <x v="4"/>
    <x v="4"/>
    <x v="0"/>
    <x v="4"/>
    <x v="0"/>
    <x v="0"/>
    <x v="0"/>
    <x v="0"/>
    <x v="0"/>
    <x v="0"/>
    <x v="0"/>
    <x v="0"/>
    <x v="0"/>
    <x v="0"/>
    <x v="0"/>
    <x v="0"/>
    <x v="0"/>
    <x v="0"/>
    <x v="5"/>
    <x v="5"/>
    <x v="4"/>
    <x v="4"/>
    <x v="4"/>
    <x v="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1"/>
    <x v="1"/>
  </r>
  <r>
    <x v="0"/>
    <x v="1"/>
    <x v="0"/>
    <x v="1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1"/>
  </r>
  <r>
    <x v="0"/>
    <x v="1"/>
    <x v="0"/>
    <x v="1"/>
    <x v="0"/>
    <x v="1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2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1"/>
    <x v="0"/>
    <x v="0"/>
    <x v="0"/>
    <x v="0"/>
    <x v="0"/>
    <x v="1"/>
    <x v="1"/>
    <x v="0"/>
    <x v="0"/>
    <x v="1"/>
    <x v="0"/>
    <x v="0"/>
    <x v="0"/>
    <x v="0"/>
    <x v="1"/>
    <x v="0"/>
    <x v="0"/>
    <x v="0"/>
    <x v="1"/>
    <x v="0"/>
    <x v="0"/>
    <x v="1"/>
    <x v="1"/>
    <x v="1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1"/>
    <x v="0"/>
    <x v="0"/>
    <x v="0"/>
    <x v="0"/>
    <x v="0"/>
    <x v="2"/>
    <x v="2"/>
    <x v="0"/>
    <x v="0"/>
    <x v="1"/>
    <x v="0"/>
    <x v="0"/>
    <x v="0"/>
    <x v="0"/>
    <x v="1"/>
    <x v="0"/>
    <x v="0"/>
    <x v="0"/>
    <x v="1"/>
    <x v="0"/>
    <x v="0"/>
    <x v="2"/>
    <x v="2"/>
    <x v="2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1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1"/>
  </r>
  <r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1"/>
    <x v="0"/>
    <x v="0"/>
    <x v="1"/>
    <x v="1"/>
    <x v="0"/>
    <x v="3"/>
    <x v="3"/>
    <x v="0"/>
    <x v="0"/>
    <x v="1"/>
    <x v="0"/>
    <x v="0"/>
    <x v="0"/>
    <x v="0"/>
    <x v="1"/>
    <x v="0"/>
    <x v="0"/>
    <x v="0"/>
    <x v="1"/>
    <x v="0"/>
    <x v="0"/>
    <x v="4"/>
    <x v="4"/>
    <x v="3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1"/>
    <x v="4"/>
    <x v="4"/>
    <x v="4"/>
    <x v="4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</r>
  <r>
    <x v="1"/>
    <x v="0"/>
    <x v="0"/>
    <x v="1"/>
    <x v="0"/>
    <x v="1"/>
    <x v="0"/>
    <x v="0"/>
    <x v="1"/>
    <x v="1"/>
    <x v="0"/>
    <x v="4"/>
    <x v="4"/>
    <x v="0"/>
    <x v="0"/>
    <x v="1"/>
    <x v="0"/>
    <x v="0"/>
    <x v="0"/>
    <x v="0"/>
    <x v="1"/>
    <x v="0"/>
    <x v="0"/>
    <x v="0"/>
    <x v="1"/>
    <x v="0"/>
    <x v="0"/>
    <x v="5"/>
    <x v="5"/>
    <x v="4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1"/>
    <x v="5"/>
    <x v="5"/>
    <x v="5"/>
    <x v="5"/>
    <x v="5"/>
    <x v="0"/>
    <x v="0"/>
    <x v="0"/>
    <x v="0"/>
    <x v="0"/>
    <x v="0"/>
    <x v="1"/>
    <x v="0"/>
    <x v="0"/>
    <x v="0"/>
    <x v="0"/>
    <x v="0"/>
    <x v="0"/>
    <x v="1"/>
    <x v="0"/>
    <x v="0"/>
    <x v="0"/>
    <x v="2"/>
    <x v="1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"/>
    <x v="0"/>
    <x v="0"/>
    <x v="0"/>
    <x v="0"/>
    <x v="0"/>
    <x v="0"/>
    <x v="1"/>
    <x v="1"/>
    <x v="0"/>
    <x v="2"/>
    <x v="2"/>
    <x v="0"/>
    <x v="0"/>
    <x v="0"/>
    <x v="0"/>
    <x v="0"/>
    <x v="0"/>
    <x v="0"/>
    <x v="0"/>
    <x v="0"/>
    <x v="0"/>
    <x v="0"/>
    <x v="0"/>
    <x v="0"/>
    <x v="0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3"/>
    <x v="0"/>
    <x v="0"/>
    <x v="0"/>
    <x v="0"/>
    <x v="0"/>
    <x v="0"/>
    <x v="1"/>
    <x v="1"/>
    <x v="0"/>
    <x v="2"/>
    <x v="2"/>
    <x v="0"/>
    <x v="0"/>
    <x v="0"/>
    <x v="0"/>
    <x v="0"/>
    <x v="0"/>
    <x v="0"/>
    <x v="0"/>
    <x v="0"/>
    <x v="0"/>
    <x v="0"/>
    <x v="0"/>
    <x v="0"/>
    <x v="0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1"/>
  </r>
  <r>
    <x v="4"/>
    <x v="0"/>
    <x v="0"/>
    <x v="0"/>
    <x v="0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</r>
  <r>
    <x v="5"/>
    <x v="0"/>
    <x v="1"/>
    <x v="0"/>
    <x v="1"/>
    <x v="0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3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4"/>
    <x v="4"/>
    <x v="4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3"/>
    <x v="2"/>
    <x v="0"/>
  </r>
  <r>
    <x v="6"/>
    <x v="0"/>
    <x v="1"/>
    <x v="0"/>
    <x v="1"/>
    <x v="0"/>
    <x v="0"/>
    <x v="1"/>
    <x v="1"/>
    <x v="0"/>
    <x v="3"/>
    <x v="3"/>
    <x v="0"/>
    <x v="0"/>
    <x v="0"/>
    <x v="0"/>
    <x v="0"/>
    <x v="0"/>
    <x v="0"/>
    <x v="0"/>
    <x v="0"/>
    <x v="0"/>
    <x v="0"/>
    <x v="0"/>
    <x v="0"/>
    <x v="0"/>
    <x v="4"/>
    <x v="4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5"/>
    <x v="5"/>
    <x v="5"/>
    <x v="5"/>
    <x v="0"/>
    <x v="0"/>
    <x v="0"/>
    <x v="0"/>
    <x v="0"/>
    <x v="0"/>
    <x v="0"/>
    <x v="0"/>
    <x v="0"/>
    <x v="0"/>
    <x v="0"/>
    <x v="0"/>
    <x v="0"/>
    <x v="1"/>
    <x v="0"/>
    <x v="0"/>
    <x v="0"/>
    <x v="3"/>
    <x v="2"/>
    <x v="0"/>
  </r>
  <r>
    <x v="7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</r>
  <r>
    <x v="8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0"/>
    <x v="0"/>
  </r>
  <r>
    <x v="9"/>
    <x v="0"/>
    <x v="2"/>
    <x v="0"/>
    <x v="2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1"/>
    <x v="1"/>
  </r>
  <r>
    <x v="10"/>
    <x v="0"/>
    <x v="2"/>
    <x v="0"/>
    <x v="2"/>
    <x v="0"/>
    <x v="0"/>
    <x v="0"/>
    <x v="0"/>
    <x v="0"/>
    <x v="4"/>
    <x v="4"/>
    <x v="0"/>
    <x v="0"/>
    <x v="0"/>
    <x v="0"/>
    <x v="0"/>
    <x v="0"/>
    <x v="0"/>
    <x v="0"/>
    <x v="0"/>
    <x v="0"/>
    <x v="0"/>
    <x v="0"/>
    <x v="0"/>
    <x v="0"/>
    <x v="5"/>
    <x v="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6"/>
    <x v="6"/>
    <x v="6"/>
    <x v="6"/>
    <x v="0"/>
    <x v="0"/>
    <x v="0"/>
    <x v="0"/>
    <x v="0"/>
    <x v="0"/>
    <x v="0"/>
    <x v="0"/>
    <x v="0"/>
    <x v="0"/>
    <x v="0"/>
    <x v="0"/>
    <x v="0"/>
    <x v="2"/>
    <x v="0"/>
    <x v="0"/>
    <x v="0"/>
    <x v="4"/>
    <x v="1"/>
    <x v="1"/>
  </r>
  <r>
    <x v="11"/>
    <x v="0"/>
    <x v="2"/>
    <x v="0"/>
    <x v="2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1"/>
    <x v="1"/>
  </r>
  <r>
    <x v="12"/>
    <x v="0"/>
    <x v="2"/>
    <x v="0"/>
    <x v="2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1"/>
    <x v="1"/>
  </r>
  <r>
    <x v="13"/>
    <x v="0"/>
    <x v="2"/>
    <x v="0"/>
    <x v="2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2"/>
    <x v="0"/>
    <x v="0"/>
    <x v="0"/>
    <x v="1"/>
    <x v="1"/>
    <x v="1"/>
  </r>
  <r>
    <x v="14"/>
    <x v="0"/>
    <x v="2"/>
    <x v="0"/>
    <x v="2"/>
    <x v="0"/>
    <x v="0"/>
    <x v="1"/>
    <x v="1"/>
    <x v="0"/>
    <x v="4"/>
    <x v="4"/>
    <x v="0"/>
    <x v="0"/>
    <x v="0"/>
    <x v="0"/>
    <x v="0"/>
    <x v="0"/>
    <x v="0"/>
    <x v="0"/>
    <x v="0"/>
    <x v="0"/>
    <x v="0"/>
    <x v="0"/>
    <x v="0"/>
    <x v="0"/>
    <x v="5"/>
    <x v="5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7"/>
    <x v="7"/>
    <x v="7"/>
    <x v="7"/>
    <x v="0"/>
    <x v="0"/>
    <x v="0"/>
    <x v="0"/>
    <x v="0"/>
    <x v="0"/>
    <x v="0"/>
    <x v="0"/>
    <x v="0"/>
    <x v="0"/>
    <x v="0"/>
    <x v="0"/>
    <x v="0"/>
    <x v="2"/>
    <x v="0"/>
    <x v="0"/>
    <x v="0"/>
    <x v="4"/>
    <x v="1"/>
    <x v="1"/>
  </r>
  <r>
    <x v="15"/>
    <x v="0"/>
    <x v="3"/>
    <x v="0"/>
    <x v="3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16"/>
    <x v="0"/>
    <x v="4"/>
    <x v="0"/>
    <x v="4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17"/>
    <x v="0"/>
    <x v="5"/>
    <x v="0"/>
    <x v="5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18"/>
    <x v="0"/>
    <x v="6"/>
    <x v="0"/>
    <x v="6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19"/>
    <x v="0"/>
    <x v="7"/>
    <x v="0"/>
    <x v="7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20"/>
    <x v="0"/>
    <x v="8"/>
    <x v="0"/>
    <x v="8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21"/>
    <x v="0"/>
    <x v="9"/>
    <x v="0"/>
    <x v="9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22"/>
    <x v="0"/>
    <x v="10"/>
    <x v="0"/>
    <x v="10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3"/>
    <x v="1"/>
    <x v="1"/>
    <x v="1"/>
    <x v="5"/>
    <x v="0"/>
    <x v="0"/>
  </r>
  <r>
    <x v="23"/>
    <x v="0"/>
    <x v="11"/>
    <x v="0"/>
    <x v="11"/>
    <x v="0"/>
    <x v="0"/>
    <x v="3"/>
    <x v="3"/>
    <x v="0"/>
    <x v="6"/>
    <x v="6"/>
    <x v="0"/>
    <x v="0"/>
    <x v="0"/>
    <x v="0"/>
    <x v="0"/>
    <x v="0"/>
    <x v="0"/>
    <x v="0"/>
    <x v="0"/>
    <x v="0"/>
    <x v="0"/>
    <x v="0"/>
    <x v="0"/>
    <x v="0"/>
    <x v="7"/>
    <x v="7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9"/>
    <x v="9"/>
    <x v="9"/>
    <x v="9"/>
    <x v="0"/>
    <x v="0"/>
    <x v="0"/>
    <x v="0"/>
    <x v="0"/>
    <x v="0"/>
    <x v="0"/>
    <x v="0"/>
    <x v="0"/>
    <x v="0"/>
    <x v="0"/>
    <x v="0"/>
    <x v="0"/>
    <x v="4"/>
    <x v="0"/>
    <x v="2"/>
    <x v="0"/>
    <x v="6"/>
    <x v="1"/>
    <x v="1"/>
  </r>
  <r>
    <x v="24"/>
    <x v="0"/>
    <x v="11"/>
    <x v="0"/>
    <x v="11"/>
    <x v="0"/>
    <x v="0"/>
    <x v="4"/>
    <x v="4"/>
    <x v="0"/>
    <x v="7"/>
    <x v="7"/>
    <x v="0"/>
    <x v="0"/>
    <x v="0"/>
    <x v="0"/>
    <x v="0"/>
    <x v="0"/>
    <x v="0"/>
    <x v="0"/>
    <x v="0"/>
    <x v="0"/>
    <x v="0"/>
    <x v="0"/>
    <x v="0"/>
    <x v="0"/>
    <x v="8"/>
    <x v="8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x v="10"/>
    <x v="10"/>
    <x v="10"/>
    <x v="10"/>
    <x v="0"/>
    <x v="0"/>
    <x v="0"/>
    <x v="0"/>
    <x v="0"/>
    <x v="0"/>
    <x v="0"/>
    <x v="0"/>
    <x v="0"/>
    <x v="0"/>
    <x v="0"/>
    <x v="0"/>
    <x v="0"/>
    <x v="4"/>
    <x v="0"/>
    <x v="3"/>
    <x v="0"/>
    <x v="7"/>
    <x v="1"/>
    <x v="1"/>
  </r>
  <r>
    <x v="25"/>
    <x v="0"/>
    <x v="11"/>
    <x v="0"/>
    <x v="11"/>
    <x v="0"/>
    <x v="0"/>
    <x v="5"/>
    <x v="5"/>
    <x v="0"/>
    <x v="8"/>
    <x v="8"/>
    <x v="0"/>
    <x v="0"/>
    <x v="0"/>
    <x v="0"/>
    <x v="0"/>
    <x v="0"/>
    <x v="0"/>
    <x v="0"/>
    <x v="0"/>
    <x v="0"/>
    <x v="0"/>
    <x v="0"/>
    <x v="0"/>
    <x v="0"/>
    <x v="9"/>
    <x v="9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"/>
    <x v="11"/>
    <x v="11"/>
    <x v="11"/>
    <x v="11"/>
    <x v="0"/>
    <x v="0"/>
    <x v="0"/>
    <x v="0"/>
    <x v="0"/>
    <x v="0"/>
    <x v="0"/>
    <x v="0"/>
    <x v="0"/>
    <x v="0"/>
    <x v="0"/>
    <x v="0"/>
    <x v="0"/>
    <x v="4"/>
    <x v="0"/>
    <x v="3"/>
    <x v="0"/>
    <x v="8"/>
    <x v="1"/>
    <x v="1"/>
  </r>
  <r>
    <x v="26"/>
    <x v="0"/>
    <x v="11"/>
    <x v="0"/>
    <x v="11"/>
    <x v="0"/>
    <x v="0"/>
    <x v="0"/>
    <x v="0"/>
    <x v="0"/>
    <x v="9"/>
    <x v="9"/>
    <x v="0"/>
    <x v="0"/>
    <x v="0"/>
    <x v="0"/>
    <x v="0"/>
    <x v="0"/>
    <x v="0"/>
    <x v="0"/>
    <x v="0"/>
    <x v="0"/>
    <x v="0"/>
    <x v="0"/>
    <x v="0"/>
    <x v="0"/>
    <x v="10"/>
    <x v="1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12"/>
    <x v="12"/>
    <x v="12"/>
    <x v="12"/>
    <x v="0"/>
    <x v="0"/>
    <x v="0"/>
    <x v="0"/>
    <x v="0"/>
    <x v="0"/>
    <x v="0"/>
    <x v="0"/>
    <x v="0"/>
    <x v="0"/>
    <x v="0"/>
    <x v="0"/>
    <x v="0"/>
    <x v="4"/>
    <x v="0"/>
    <x v="0"/>
    <x v="0"/>
    <x v="9"/>
    <x v="1"/>
    <x v="1"/>
  </r>
  <r>
    <x v="27"/>
    <x v="0"/>
    <x v="11"/>
    <x v="0"/>
    <x v="11"/>
    <x v="0"/>
    <x v="0"/>
    <x v="1"/>
    <x v="1"/>
    <x v="0"/>
    <x v="10"/>
    <x v="10"/>
    <x v="0"/>
    <x v="0"/>
    <x v="0"/>
    <x v="0"/>
    <x v="0"/>
    <x v="0"/>
    <x v="0"/>
    <x v="0"/>
    <x v="0"/>
    <x v="0"/>
    <x v="0"/>
    <x v="0"/>
    <x v="0"/>
    <x v="0"/>
    <x v="11"/>
    <x v="11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"/>
    <x v="13"/>
    <x v="13"/>
    <x v="13"/>
    <x v="13"/>
    <x v="0"/>
    <x v="0"/>
    <x v="0"/>
    <x v="0"/>
    <x v="0"/>
    <x v="0"/>
    <x v="0"/>
    <x v="0"/>
    <x v="0"/>
    <x v="0"/>
    <x v="0"/>
    <x v="0"/>
    <x v="0"/>
    <x v="4"/>
    <x v="0"/>
    <x v="0"/>
    <x v="0"/>
    <x v="10"/>
    <x v="1"/>
    <x v="1"/>
  </r>
  <r>
    <x v="28"/>
    <x v="0"/>
    <x v="12"/>
    <x v="0"/>
    <x v="12"/>
    <x v="0"/>
    <x v="0"/>
    <x v="3"/>
    <x v="3"/>
    <x v="0"/>
    <x v="11"/>
    <x v="11"/>
    <x v="0"/>
    <x v="0"/>
    <x v="0"/>
    <x v="0"/>
    <x v="0"/>
    <x v="0"/>
    <x v="0"/>
    <x v="0"/>
    <x v="0"/>
    <x v="0"/>
    <x v="0"/>
    <x v="0"/>
    <x v="0"/>
    <x v="0"/>
    <x v="12"/>
    <x v="12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14"/>
    <x v="14"/>
    <x v="14"/>
    <x v="14"/>
    <x v="0"/>
    <x v="0"/>
    <x v="0"/>
    <x v="0"/>
    <x v="0"/>
    <x v="0"/>
    <x v="0"/>
    <x v="0"/>
    <x v="0"/>
    <x v="0"/>
    <x v="0"/>
    <x v="0"/>
    <x v="0"/>
    <x v="5"/>
    <x v="0"/>
    <x v="2"/>
    <x v="0"/>
    <x v="11"/>
    <x v="1"/>
    <x v="1"/>
  </r>
  <r>
    <x v="29"/>
    <x v="0"/>
    <x v="12"/>
    <x v="0"/>
    <x v="12"/>
    <x v="0"/>
    <x v="0"/>
    <x v="4"/>
    <x v="4"/>
    <x v="0"/>
    <x v="12"/>
    <x v="12"/>
    <x v="0"/>
    <x v="0"/>
    <x v="0"/>
    <x v="0"/>
    <x v="0"/>
    <x v="0"/>
    <x v="0"/>
    <x v="0"/>
    <x v="0"/>
    <x v="0"/>
    <x v="0"/>
    <x v="0"/>
    <x v="0"/>
    <x v="0"/>
    <x v="13"/>
    <x v="13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15"/>
    <x v="15"/>
    <x v="15"/>
    <x v="15"/>
    <x v="0"/>
    <x v="0"/>
    <x v="0"/>
    <x v="0"/>
    <x v="0"/>
    <x v="0"/>
    <x v="0"/>
    <x v="0"/>
    <x v="0"/>
    <x v="0"/>
    <x v="0"/>
    <x v="0"/>
    <x v="0"/>
    <x v="5"/>
    <x v="0"/>
    <x v="3"/>
    <x v="0"/>
    <x v="12"/>
    <x v="1"/>
    <x v="1"/>
  </r>
  <r>
    <x v="30"/>
    <x v="0"/>
    <x v="12"/>
    <x v="0"/>
    <x v="12"/>
    <x v="0"/>
    <x v="0"/>
    <x v="5"/>
    <x v="5"/>
    <x v="0"/>
    <x v="13"/>
    <x v="13"/>
    <x v="0"/>
    <x v="0"/>
    <x v="0"/>
    <x v="0"/>
    <x v="0"/>
    <x v="0"/>
    <x v="0"/>
    <x v="0"/>
    <x v="0"/>
    <x v="0"/>
    <x v="0"/>
    <x v="0"/>
    <x v="0"/>
    <x v="0"/>
    <x v="14"/>
    <x v="14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"/>
    <x v="16"/>
    <x v="16"/>
    <x v="16"/>
    <x v="16"/>
    <x v="0"/>
    <x v="0"/>
    <x v="0"/>
    <x v="0"/>
    <x v="0"/>
    <x v="0"/>
    <x v="0"/>
    <x v="0"/>
    <x v="0"/>
    <x v="0"/>
    <x v="0"/>
    <x v="0"/>
    <x v="0"/>
    <x v="5"/>
    <x v="0"/>
    <x v="3"/>
    <x v="0"/>
    <x v="13"/>
    <x v="1"/>
    <x v="1"/>
  </r>
  <r>
    <x v="31"/>
    <x v="0"/>
    <x v="13"/>
    <x v="0"/>
    <x v="13"/>
    <x v="0"/>
    <x v="0"/>
    <x v="3"/>
    <x v="3"/>
    <x v="0"/>
    <x v="14"/>
    <x v="14"/>
    <x v="0"/>
    <x v="0"/>
    <x v="0"/>
    <x v="0"/>
    <x v="0"/>
    <x v="0"/>
    <x v="0"/>
    <x v="0"/>
    <x v="0"/>
    <x v="0"/>
    <x v="0"/>
    <x v="0"/>
    <x v="0"/>
    <x v="0"/>
    <x v="15"/>
    <x v="15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17"/>
    <x v="17"/>
    <x v="17"/>
    <x v="17"/>
    <x v="0"/>
    <x v="0"/>
    <x v="0"/>
    <x v="0"/>
    <x v="0"/>
    <x v="0"/>
    <x v="0"/>
    <x v="0"/>
    <x v="0"/>
    <x v="0"/>
    <x v="0"/>
    <x v="0"/>
    <x v="0"/>
    <x v="6"/>
    <x v="0"/>
    <x v="2"/>
    <x v="0"/>
    <x v="14"/>
    <x v="1"/>
    <x v="1"/>
  </r>
  <r>
    <x v="32"/>
    <x v="0"/>
    <x v="13"/>
    <x v="0"/>
    <x v="13"/>
    <x v="0"/>
    <x v="0"/>
    <x v="4"/>
    <x v="4"/>
    <x v="0"/>
    <x v="15"/>
    <x v="15"/>
    <x v="0"/>
    <x v="0"/>
    <x v="0"/>
    <x v="0"/>
    <x v="0"/>
    <x v="0"/>
    <x v="0"/>
    <x v="0"/>
    <x v="0"/>
    <x v="0"/>
    <x v="0"/>
    <x v="0"/>
    <x v="0"/>
    <x v="0"/>
    <x v="16"/>
    <x v="16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"/>
    <x v="18"/>
    <x v="18"/>
    <x v="18"/>
    <x v="18"/>
    <x v="0"/>
    <x v="0"/>
    <x v="0"/>
    <x v="0"/>
    <x v="0"/>
    <x v="0"/>
    <x v="0"/>
    <x v="0"/>
    <x v="0"/>
    <x v="0"/>
    <x v="0"/>
    <x v="0"/>
    <x v="0"/>
    <x v="6"/>
    <x v="0"/>
    <x v="3"/>
    <x v="0"/>
    <x v="15"/>
    <x v="1"/>
    <x v="1"/>
  </r>
  <r>
    <x v="33"/>
    <x v="0"/>
    <x v="13"/>
    <x v="0"/>
    <x v="13"/>
    <x v="0"/>
    <x v="0"/>
    <x v="5"/>
    <x v="5"/>
    <x v="0"/>
    <x v="7"/>
    <x v="7"/>
    <x v="0"/>
    <x v="0"/>
    <x v="0"/>
    <x v="0"/>
    <x v="0"/>
    <x v="0"/>
    <x v="0"/>
    <x v="0"/>
    <x v="0"/>
    <x v="0"/>
    <x v="0"/>
    <x v="0"/>
    <x v="0"/>
    <x v="0"/>
    <x v="17"/>
    <x v="1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9"/>
    <x v="19"/>
    <x v="19"/>
    <x v="19"/>
    <x v="19"/>
    <x v="0"/>
    <x v="0"/>
    <x v="0"/>
    <x v="0"/>
    <x v="0"/>
    <x v="0"/>
    <x v="0"/>
    <x v="0"/>
    <x v="0"/>
    <x v="0"/>
    <x v="0"/>
    <x v="0"/>
    <x v="0"/>
    <x v="6"/>
    <x v="0"/>
    <x v="3"/>
    <x v="0"/>
    <x v="7"/>
    <x v="1"/>
    <x v="1"/>
  </r>
  <r>
    <x v="34"/>
    <x v="0"/>
    <x v="13"/>
    <x v="0"/>
    <x v="13"/>
    <x v="0"/>
    <x v="0"/>
    <x v="5"/>
    <x v="5"/>
    <x v="0"/>
    <x v="16"/>
    <x v="16"/>
    <x v="0"/>
    <x v="0"/>
    <x v="0"/>
    <x v="0"/>
    <x v="0"/>
    <x v="0"/>
    <x v="0"/>
    <x v="0"/>
    <x v="0"/>
    <x v="0"/>
    <x v="0"/>
    <x v="0"/>
    <x v="0"/>
    <x v="0"/>
    <x v="18"/>
    <x v="18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"/>
    <x v="20"/>
    <x v="20"/>
    <x v="20"/>
    <x v="20"/>
    <x v="0"/>
    <x v="0"/>
    <x v="0"/>
    <x v="0"/>
    <x v="0"/>
    <x v="0"/>
    <x v="0"/>
    <x v="0"/>
    <x v="0"/>
    <x v="0"/>
    <x v="0"/>
    <x v="0"/>
    <x v="0"/>
    <x v="6"/>
    <x v="0"/>
    <x v="3"/>
    <x v="0"/>
    <x v="16"/>
    <x v="1"/>
    <x v="1"/>
  </r>
  <r>
    <x v="35"/>
    <x v="0"/>
    <x v="13"/>
    <x v="0"/>
    <x v="13"/>
    <x v="0"/>
    <x v="0"/>
    <x v="0"/>
    <x v="0"/>
    <x v="0"/>
    <x v="17"/>
    <x v="17"/>
    <x v="0"/>
    <x v="0"/>
    <x v="0"/>
    <x v="0"/>
    <x v="0"/>
    <x v="0"/>
    <x v="0"/>
    <x v="0"/>
    <x v="0"/>
    <x v="0"/>
    <x v="0"/>
    <x v="0"/>
    <x v="0"/>
    <x v="0"/>
    <x v="19"/>
    <x v="19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1"/>
    <x v="21"/>
    <x v="21"/>
    <x v="21"/>
    <x v="21"/>
    <x v="0"/>
    <x v="0"/>
    <x v="0"/>
    <x v="0"/>
    <x v="0"/>
    <x v="0"/>
    <x v="0"/>
    <x v="0"/>
    <x v="0"/>
    <x v="0"/>
    <x v="0"/>
    <x v="0"/>
    <x v="0"/>
    <x v="6"/>
    <x v="0"/>
    <x v="0"/>
    <x v="0"/>
    <x v="17"/>
    <x v="1"/>
    <x v="1"/>
  </r>
  <r>
    <x v="36"/>
    <x v="0"/>
    <x v="13"/>
    <x v="0"/>
    <x v="13"/>
    <x v="0"/>
    <x v="0"/>
    <x v="1"/>
    <x v="1"/>
    <x v="0"/>
    <x v="17"/>
    <x v="17"/>
    <x v="0"/>
    <x v="0"/>
    <x v="0"/>
    <x v="0"/>
    <x v="0"/>
    <x v="0"/>
    <x v="0"/>
    <x v="0"/>
    <x v="0"/>
    <x v="0"/>
    <x v="0"/>
    <x v="0"/>
    <x v="0"/>
    <x v="0"/>
    <x v="20"/>
    <x v="20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"/>
    <x v="22"/>
    <x v="22"/>
    <x v="22"/>
    <x v="22"/>
    <x v="0"/>
    <x v="0"/>
    <x v="0"/>
    <x v="0"/>
    <x v="0"/>
    <x v="0"/>
    <x v="0"/>
    <x v="0"/>
    <x v="0"/>
    <x v="0"/>
    <x v="0"/>
    <x v="0"/>
    <x v="0"/>
    <x v="6"/>
    <x v="0"/>
    <x v="0"/>
    <x v="0"/>
    <x v="17"/>
    <x v="1"/>
    <x v="1"/>
  </r>
  <r>
    <x v="37"/>
    <x v="0"/>
    <x v="13"/>
    <x v="0"/>
    <x v="13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6"/>
    <x v="0"/>
    <x v="0"/>
    <x v="0"/>
    <x v="1"/>
    <x v="1"/>
    <x v="1"/>
  </r>
  <r>
    <x v="38"/>
    <x v="0"/>
    <x v="13"/>
    <x v="0"/>
    <x v="13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3"/>
    <x v="3"/>
    <x v="3"/>
    <x v="0"/>
    <x v="0"/>
    <x v="0"/>
    <x v="0"/>
    <x v="0"/>
    <x v="0"/>
    <x v="0"/>
    <x v="0"/>
    <x v="0"/>
    <x v="0"/>
    <x v="0"/>
    <x v="0"/>
    <x v="0"/>
    <x v="6"/>
    <x v="0"/>
    <x v="0"/>
    <x v="0"/>
    <x v="1"/>
    <x v="1"/>
    <x v="1"/>
  </r>
  <r>
    <x v="39"/>
    <x v="0"/>
    <x v="13"/>
    <x v="0"/>
    <x v="13"/>
    <x v="0"/>
    <x v="0"/>
    <x v="1"/>
    <x v="1"/>
    <x v="0"/>
    <x v="18"/>
    <x v="18"/>
    <x v="0"/>
    <x v="0"/>
    <x v="0"/>
    <x v="0"/>
    <x v="0"/>
    <x v="0"/>
    <x v="0"/>
    <x v="0"/>
    <x v="0"/>
    <x v="0"/>
    <x v="0"/>
    <x v="0"/>
    <x v="0"/>
    <x v="0"/>
    <x v="21"/>
    <x v="21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"/>
    <x v="23"/>
    <x v="23"/>
    <x v="23"/>
    <x v="23"/>
    <x v="0"/>
    <x v="0"/>
    <x v="0"/>
    <x v="0"/>
    <x v="0"/>
    <x v="0"/>
    <x v="0"/>
    <x v="0"/>
    <x v="0"/>
    <x v="0"/>
    <x v="0"/>
    <x v="0"/>
    <x v="0"/>
    <x v="6"/>
    <x v="0"/>
    <x v="0"/>
    <x v="0"/>
    <x v="18"/>
    <x v="1"/>
    <x v="1"/>
  </r>
  <r>
    <x v="40"/>
    <x v="0"/>
    <x v="14"/>
    <x v="0"/>
    <x v="14"/>
    <x v="0"/>
    <x v="0"/>
    <x v="6"/>
    <x v="6"/>
    <x v="0"/>
    <x v="19"/>
    <x v="19"/>
    <x v="0"/>
    <x v="0"/>
    <x v="0"/>
    <x v="0"/>
    <x v="0"/>
    <x v="0"/>
    <x v="0"/>
    <x v="0"/>
    <x v="0"/>
    <x v="0"/>
    <x v="0"/>
    <x v="0"/>
    <x v="0"/>
    <x v="0"/>
    <x v="22"/>
    <x v="22"/>
    <x v="19"/>
    <x v="0"/>
    <x v="0"/>
    <x v="0"/>
    <x v="2"/>
    <x v="2"/>
    <x v="2"/>
    <x v="0"/>
    <x v="0"/>
    <x v="0"/>
    <x v="0"/>
    <x v="0"/>
    <x v="0"/>
    <x v="0"/>
    <x v="0"/>
    <x v="0"/>
    <x v="0"/>
    <x v="0"/>
    <x v="0"/>
    <x v="0"/>
    <x v="0"/>
    <x v="24"/>
    <x v="24"/>
    <x v="24"/>
    <x v="24"/>
    <x v="24"/>
    <x v="0"/>
    <x v="0"/>
    <x v="0"/>
    <x v="0"/>
    <x v="0"/>
    <x v="0"/>
    <x v="0"/>
    <x v="0"/>
    <x v="0"/>
    <x v="0"/>
    <x v="0"/>
    <x v="0"/>
    <x v="0"/>
    <x v="1"/>
    <x v="0"/>
    <x v="4"/>
    <x v="0"/>
    <x v="19"/>
    <x v="0"/>
    <x v="0"/>
  </r>
  <r>
    <x v="41"/>
    <x v="0"/>
    <x v="15"/>
    <x v="0"/>
    <x v="15"/>
    <x v="0"/>
    <x v="0"/>
    <x v="7"/>
    <x v="7"/>
    <x v="1"/>
    <x v="20"/>
    <x v="20"/>
    <x v="0"/>
    <x v="0"/>
    <x v="0"/>
    <x v="0"/>
    <x v="0"/>
    <x v="0"/>
    <x v="0"/>
    <x v="0"/>
    <x v="0"/>
    <x v="0"/>
    <x v="0"/>
    <x v="0"/>
    <x v="0"/>
    <x v="0"/>
    <x v="23"/>
    <x v="23"/>
    <x v="20"/>
    <x v="0"/>
    <x v="0"/>
    <x v="0"/>
    <x v="3"/>
    <x v="3"/>
    <x v="3"/>
    <x v="0"/>
    <x v="0"/>
    <x v="0"/>
    <x v="0"/>
    <x v="0"/>
    <x v="0"/>
    <x v="0"/>
    <x v="0"/>
    <x v="0"/>
    <x v="0"/>
    <x v="0"/>
    <x v="0"/>
    <x v="0"/>
    <x v="0"/>
    <x v="25"/>
    <x v="8"/>
    <x v="8"/>
    <x v="25"/>
    <x v="25"/>
    <x v="0"/>
    <x v="0"/>
    <x v="0"/>
    <x v="1"/>
    <x v="0"/>
    <x v="0"/>
    <x v="0"/>
    <x v="0"/>
    <x v="0"/>
    <x v="0"/>
    <x v="0"/>
    <x v="0"/>
    <x v="0"/>
    <x v="7"/>
    <x v="1"/>
    <x v="5"/>
    <x v="1"/>
    <x v="20"/>
    <x v="0"/>
    <x v="0"/>
  </r>
  <r>
    <x v="42"/>
    <x v="0"/>
    <x v="16"/>
    <x v="0"/>
    <x v="16"/>
    <x v="0"/>
    <x v="0"/>
    <x v="7"/>
    <x v="7"/>
    <x v="1"/>
    <x v="20"/>
    <x v="20"/>
    <x v="0"/>
    <x v="0"/>
    <x v="0"/>
    <x v="0"/>
    <x v="0"/>
    <x v="0"/>
    <x v="0"/>
    <x v="0"/>
    <x v="0"/>
    <x v="0"/>
    <x v="0"/>
    <x v="0"/>
    <x v="0"/>
    <x v="0"/>
    <x v="23"/>
    <x v="23"/>
    <x v="20"/>
    <x v="0"/>
    <x v="0"/>
    <x v="0"/>
    <x v="3"/>
    <x v="3"/>
    <x v="3"/>
    <x v="0"/>
    <x v="0"/>
    <x v="0"/>
    <x v="0"/>
    <x v="0"/>
    <x v="0"/>
    <x v="0"/>
    <x v="0"/>
    <x v="0"/>
    <x v="0"/>
    <x v="0"/>
    <x v="0"/>
    <x v="0"/>
    <x v="0"/>
    <x v="25"/>
    <x v="8"/>
    <x v="8"/>
    <x v="25"/>
    <x v="25"/>
    <x v="0"/>
    <x v="0"/>
    <x v="0"/>
    <x v="1"/>
    <x v="0"/>
    <x v="0"/>
    <x v="0"/>
    <x v="0"/>
    <x v="0"/>
    <x v="0"/>
    <x v="0"/>
    <x v="0"/>
    <x v="0"/>
    <x v="7"/>
    <x v="1"/>
    <x v="5"/>
    <x v="1"/>
    <x v="20"/>
    <x v="0"/>
    <x v="0"/>
  </r>
  <r>
    <x v="43"/>
    <x v="0"/>
    <x v="17"/>
    <x v="0"/>
    <x v="17"/>
    <x v="0"/>
    <x v="0"/>
    <x v="7"/>
    <x v="7"/>
    <x v="1"/>
    <x v="20"/>
    <x v="20"/>
    <x v="0"/>
    <x v="0"/>
    <x v="0"/>
    <x v="0"/>
    <x v="0"/>
    <x v="0"/>
    <x v="0"/>
    <x v="0"/>
    <x v="0"/>
    <x v="0"/>
    <x v="0"/>
    <x v="0"/>
    <x v="0"/>
    <x v="0"/>
    <x v="23"/>
    <x v="23"/>
    <x v="20"/>
    <x v="0"/>
    <x v="0"/>
    <x v="0"/>
    <x v="3"/>
    <x v="3"/>
    <x v="3"/>
    <x v="0"/>
    <x v="0"/>
    <x v="0"/>
    <x v="0"/>
    <x v="0"/>
    <x v="0"/>
    <x v="0"/>
    <x v="0"/>
    <x v="0"/>
    <x v="0"/>
    <x v="0"/>
    <x v="0"/>
    <x v="0"/>
    <x v="0"/>
    <x v="25"/>
    <x v="8"/>
    <x v="8"/>
    <x v="25"/>
    <x v="25"/>
    <x v="0"/>
    <x v="0"/>
    <x v="0"/>
    <x v="1"/>
    <x v="0"/>
    <x v="0"/>
    <x v="0"/>
    <x v="0"/>
    <x v="0"/>
    <x v="0"/>
    <x v="0"/>
    <x v="0"/>
    <x v="0"/>
    <x v="7"/>
    <x v="1"/>
    <x v="5"/>
    <x v="1"/>
    <x v="21"/>
    <x v="0"/>
    <x v="0"/>
  </r>
  <r>
    <x v="44"/>
    <x v="0"/>
    <x v="18"/>
    <x v="0"/>
    <x v="18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45"/>
    <x v="0"/>
    <x v="19"/>
    <x v="0"/>
    <x v="19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46"/>
    <x v="0"/>
    <x v="20"/>
    <x v="0"/>
    <x v="20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47"/>
    <x v="0"/>
    <x v="21"/>
    <x v="0"/>
    <x v="21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48"/>
    <x v="0"/>
    <x v="22"/>
    <x v="0"/>
    <x v="22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49"/>
    <x v="0"/>
    <x v="23"/>
    <x v="0"/>
    <x v="23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0"/>
    <x v="0"/>
    <x v="24"/>
    <x v="0"/>
    <x v="24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1"/>
    <x v="0"/>
    <x v="25"/>
    <x v="0"/>
    <x v="25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2"/>
    <x v="0"/>
    <x v="26"/>
    <x v="0"/>
    <x v="26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3"/>
    <x v="0"/>
    <x v="27"/>
    <x v="0"/>
    <x v="27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4"/>
    <x v="0"/>
    <x v="28"/>
    <x v="0"/>
    <x v="28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5"/>
    <x v="0"/>
    <x v="29"/>
    <x v="0"/>
    <x v="29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6"/>
    <x v="0"/>
    <x v="30"/>
    <x v="0"/>
    <x v="30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7"/>
    <x v="0"/>
    <x v="31"/>
    <x v="0"/>
    <x v="31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5"/>
    <x v="0"/>
    <x v="0"/>
  </r>
  <r>
    <x v="58"/>
    <x v="0"/>
    <x v="32"/>
    <x v="0"/>
    <x v="32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22"/>
    <x v="0"/>
    <x v="0"/>
  </r>
  <r>
    <x v="59"/>
    <x v="0"/>
    <x v="33"/>
    <x v="0"/>
    <x v="33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22"/>
    <x v="0"/>
    <x v="0"/>
  </r>
  <r>
    <x v="60"/>
    <x v="0"/>
    <x v="34"/>
    <x v="0"/>
    <x v="34"/>
    <x v="0"/>
    <x v="0"/>
    <x v="2"/>
    <x v="2"/>
    <x v="1"/>
    <x v="5"/>
    <x v="5"/>
    <x v="0"/>
    <x v="0"/>
    <x v="0"/>
    <x v="0"/>
    <x v="0"/>
    <x v="0"/>
    <x v="0"/>
    <x v="0"/>
    <x v="0"/>
    <x v="0"/>
    <x v="0"/>
    <x v="0"/>
    <x v="0"/>
    <x v="0"/>
    <x v="6"/>
    <x v="6"/>
    <x v="5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8"/>
    <x v="8"/>
    <x v="8"/>
    <x v="8"/>
    <x v="8"/>
    <x v="0"/>
    <x v="0"/>
    <x v="0"/>
    <x v="1"/>
    <x v="0"/>
    <x v="0"/>
    <x v="0"/>
    <x v="0"/>
    <x v="0"/>
    <x v="0"/>
    <x v="0"/>
    <x v="0"/>
    <x v="0"/>
    <x v="7"/>
    <x v="1"/>
    <x v="1"/>
    <x v="1"/>
    <x v="22"/>
    <x v="0"/>
    <x v="0"/>
  </r>
  <r>
    <x v="61"/>
    <x v="0"/>
    <x v="35"/>
    <x v="0"/>
    <x v="35"/>
    <x v="0"/>
    <x v="0"/>
    <x v="2"/>
    <x v="2"/>
    <x v="1"/>
    <x v="20"/>
    <x v="20"/>
    <x v="0"/>
    <x v="0"/>
    <x v="0"/>
    <x v="0"/>
    <x v="0"/>
    <x v="0"/>
    <x v="0"/>
    <x v="0"/>
    <x v="0"/>
    <x v="0"/>
    <x v="0"/>
    <x v="0"/>
    <x v="0"/>
    <x v="0"/>
    <x v="23"/>
    <x v="23"/>
    <x v="20"/>
    <x v="0"/>
    <x v="0"/>
    <x v="0"/>
    <x v="3"/>
    <x v="3"/>
    <x v="3"/>
    <x v="0"/>
    <x v="0"/>
    <x v="0"/>
    <x v="0"/>
    <x v="0"/>
    <x v="0"/>
    <x v="0"/>
    <x v="0"/>
    <x v="0"/>
    <x v="0"/>
    <x v="0"/>
    <x v="0"/>
    <x v="0"/>
    <x v="0"/>
    <x v="26"/>
    <x v="8"/>
    <x v="8"/>
    <x v="26"/>
    <x v="26"/>
    <x v="0"/>
    <x v="0"/>
    <x v="0"/>
    <x v="1"/>
    <x v="0"/>
    <x v="0"/>
    <x v="0"/>
    <x v="0"/>
    <x v="0"/>
    <x v="0"/>
    <x v="0"/>
    <x v="0"/>
    <x v="0"/>
    <x v="8"/>
    <x v="1"/>
    <x v="1"/>
    <x v="1"/>
    <x v="23"/>
    <x v="0"/>
    <x v="0"/>
  </r>
  <r>
    <x v="62"/>
    <x v="0"/>
    <x v="36"/>
    <x v="0"/>
    <x v="36"/>
    <x v="0"/>
    <x v="0"/>
    <x v="0"/>
    <x v="0"/>
    <x v="0"/>
    <x v="21"/>
    <x v="21"/>
    <x v="0"/>
    <x v="0"/>
    <x v="0"/>
    <x v="0"/>
    <x v="0"/>
    <x v="0"/>
    <x v="0"/>
    <x v="0"/>
    <x v="0"/>
    <x v="0"/>
    <x v="0"/>
    <x v="0"/>
    <x v="0"/>
    <x v="0"/>
    <x v="24"/>
    <x v="24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"/>
    <x v="25"/>
    <x v="25"/>
    <x v="27"/>
    <x v="27"/>
    <x v="0"/>
    <x v="0"/>
    <x v="0"/>
    <x v="0"/>
    <x v="0"/>
    <x v="0"/>
    <x v="0"/>
    <x v="0"/>
    <x v="0"/>
    <x v="0"/>
    <x v="0"/>
    <x v="0"/>
    <x v="0"/>
    <x v="5"/>
    <x v="0"/>
    <x v="0"/>
    <x v="0"/>
    <x v="24"/>
    <x v="1"/>
    <x v="1"/>
  </r>
  <r>
    <x v="63"/>
    <x v="0"/>
    <x v="37"/>
    <x v="0"/>
    <x v="37"/>
    <x v="0"/>
    <x v="0"/>
    <x v="8"/>
    <x v="8"/>
    <x v="0"/>
    <x v="22"/>
    <x v="22"/>
    <x v="0"/>
    <x v="0"/>
    <x v="0"/>
    <x v="0"/>
    <x v="0"/>
    <x v="0"/>
    <x v="0"/>
    <x v="0"/>
    <x v="0"/>
    <x v="0"/>
    <x v="0"/>
    <x v="0"/>
    <x v="0"/>
    <x v="0"/>
    <x v="25"/>
    <x v="25"/>
    <x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8"/>
    <x v="26"/>
    <x v="26"/>
    <x v="28"/>
    <x v="28"/>
    <x v="0"/>
    <x v="0"/>
    <x v="0"/>
    <x v="0"/>
    <x v="0"/>
    <x v="0"/>
    <x v="0"/>
    <x v="0"/>
    <x v="0"/>
    <x v="0"/>
    <x v="0"/>
    <x v="0"/>
    <x v="0"/>
    <x v="9"/>
    <x v="0"/>
    <x v="0"/>
    <x v="0"/>
    <x v="25"/>
    <x v="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64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数据透视表1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2:E27" firstHeaderRow="0" firstDataRow="1" firstDataCol="2"/>
  <pivotFields count="76"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1"/>
        <item x="4"/>
        <item x="0"/>
        <item x="3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7">
        <item x="1"/>
        <item x="3"/>
        <item x="0"/>
        <item x="5"/>
        <item x="4"/>
        <item x="2"/>
        <item t="default"/>
      </items>
    </pivotField>
    <pivotField compact="0" showAll="0">
      <items count="7">
        <item x="1"/>
        <item x="3"/>
        <item x="0"/>
        <item x="4"/>
        <item x="5"/>
        <item x="2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dataField="1" compact="0" showAll="0">
      <items count="6">
        <item x="1"/>
        <item x="3"/>
        <item x="0"/>
        <item x="4"/>
        <item x="2"/>
        <item t="default"/>
      </items>
    </pivotField>
    <pivotField dataField="1" compact="0" showAll="0">
      <items count="6">
        <item x="1"/>
        <item x="3"/>
        <item x="0"/>
        <item x="4"/>
        <item x="2"/>
        <item t="default"/>
      </items>
    </pivotField>
    <pivotField dataField="1" compact="0" showAll="0">
      <items count="6">
        <item x="1"/>
        <item x="3"/>
        <item x="0"/>
        <item x="4"/>
        <item x="2"/>
        <item t="default"/>
      </items>
    </pivotField>
    <pivotField compact="0" showAll="0"/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5"/>
    <field x="59"/>
  </rowFields>
  <rowItems count="5">
    <i>
      <x/>
    </i>
    <i r="1">
      <x/>
    </i>
    <i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总成本不含税2" fld="27" baseField="0" baseItem="0"/>
    <dataField name="求和项:成本税额" fld="28" baseField="0" baseItem="0"/>
    <dataField name="求和项:总成本含税2" fld="2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H10:I16" firstHeaderRow="1" firstDataRow="1" firstDataCol="1"/>
  <pivotFields count="76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3"/>
        <item x="4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">
        <item x="4"/>
        <item x="2"/>
        <item x="0"/>
        <item x="3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调整金额-含税" fld="3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98" cacheId="4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2:K25" firstHeaderRow="0" firstDataRow="1" firstDataCol="1" rowPageCount="1" colPageCount="1"/>
  <pivotFields count="75">
    <pivotField axis="axisPage"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7">
        <item x="1"/>
        <item x="5"/>
        <item x="4"/>
        <item x="2"/>
        <item x="0"/>
        <item x="3"/>
        <item t="default"/>
      </items>
    </pivotField>
    <pivotField dataField="1" compact="0" showAll="0">
      <items count="7">
        <item x="1"/>
        <item x="5"/>
        <item x="4"/>
        <item x="2"/>
        <item x="3"/>
        <item x="0"/>
        <item t="default"/>
      </items>
    </pivotField>
    <pivotField dataField="1"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7">
        <item x="1"/>
        <item x="5"/>
        <item x="4"/>
        <item x="2"/>
        <item x="0"/>
        <item x="3"/>
        <item t="default"/>
      </items>
    </pivotField>
    <pivotField dataField="1" compact="0" showAll="0">
      <items count="7">
        <item x="1"/>
        <item x="5"/>
        <item x="4"/>
        <item x="2"/>
        <item x="0"/>
        <item x="3"/>
        <item t="default"/>
      </items>
    </pivotField>
    <pivotField dataField="1" compact="0" showAll="0">
      <items count="7">
        <item x="1"/>
        <item x="5"/>
        <item x="4"/>
        <item x="2"/>
        <item x="0"/>
        <item x="3"/>
        <item t="default"/>
      </items>
    </pivotField>
    <pivotField dataField="1" compact="0" showAll="0">
      <items count="7">
        <item x="1"/>
        <item x="5"/>
        <item x="4"/>
        <item x="2"/>
        <item x="0"/>
        <item x="3"/>
        <item t="default"/>
      </items>
    </pivotField>
    <pivotField dataField="1" compact="0" showAll="0">
      <items count="7">
        <item x="1"/>
        <item x="5"/>
        <item x="4"/>
        <item x="2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item="0"/>
  </pageFields>
  <dataFields count="9">
    <dataField name="求和项:实发数量" fld="11" baseField="0" baseItem="0"/>
    <dataField name="求和项:总成本不含税" fld="27" baseField="0" baseItem="0"/>
    <dataField name="求和项:总税额" fld="28" baseField="0" baseItem="0"/>
    <dataField name="求和项:总成本含税" fld="29" baseField="0" baseItem="0"/>
    <dataField name="求和项:东莞成本含税" fld="53" baseField="0" baseItem="0"/>
    <dataField name="求和项:东莞成本不含税" fld="54" baseField="0" baseItem="0"/>
    <dataField name="求和项:料" fld="50" baseField="0" baseItem="0"/>
    <dataField name="求和项:工" fld="51" baseField="0" baseItem="0"/>
    <dataField name="求和项:费" fld="5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99" cacheId="5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69:J75" firstHeaderRow="0" firstDataRow="1" firstDataCol="1" rowPageCount="1" colPageCount="1"/>
  <pivotFields count="74"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2">
        <item x="0"/>
        <item t="default"/>
      </items>
    </pivotField>
    <pivotField compact="0" showAll="0">
      <items count="39">
        <item x="3"/>
        <item x="4"/>
        <item x="5"/>
        <item x="6"/>
        <item x="7"/>
        <item x="8"/>
        <item x="9"/>
        <item x="10"/>
        <item x="11"/>
        <item x="12"/>
        <item x="13"/>
        <item x="35"/>
        <item x="36"/>
        <item x="37"/>
        <item x="0"/>
        <item x="1"/>
        <item x="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2">
        <item x="0"/>
        <item t="default"/>
      </items>
    </pivotField>
    <pivotField compact="0" showAll="0">
      <items count="39">
        <item x="6"/>
        <item x="5"/>
        <item x="28"/>
        <item x="27"/>
        <item x="11"/>
        <item x="12"/>
        <item x="13"/>
        <item x="36"/>
        <item x="37"/>
        <item x="0"/>
        <item x="1"/>
        <item x="2"/>
        <item x="10"/>
        <item x="17"/>
        <item x="22"/>
        <item x="9"/>
        <item x="35"/>
        <item x="7"/>
        <item x="14"/>
        <item x="8"/>
        <item x="19"/>
        <item x="20"/>
        <item x="25"/>
        <item x="16"/>
        <item x="21"/>
        <item x="3"/>
        <item x="4"/>
        <item x="18"/>
        <item x="24"/>
        <item x="30"/>
        <item x="33"/>
        <item x="34"/>
        <item x="31"/>
        <item x="32"/>
        <item x="29"/>
        <item x="15"/>
        <item x="23"/>
        <item x="26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10">
        <item x="3"/>
        <item x="4"/>
        <item x="5"/>
        <item x="0"/>
        <item x="1"/>
        <item x="6"/>
        <item x="8"/>
        <item x="7"/>
        <item x="2"/>
        <item t="default"/>
      </items>
    </pivotField>
    <pivotField compact="0" showAll="0">
      <items count="10">
        <item x="8"/>
        <item x="1"/>
        <item x="5"/>
        <item x="6"/>
        <item x="0"/>
        <item x="4"/>
        <item x="2"/>
        <item x="7"/>
        <item x="3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4">
        <item x="19"/>
        <item x="5"/>
        <item x="20"/>
        <item x="18"/>
        <item x="12"/>
        <item x="11"/>
        <item x="4"/>
        <item x="13"/>
        <item x="1"/>
        <item x="7"/>
        <item x="15"/>
        <item x="16"/>
        <item x="6"/>
        <item x="14"/>
        <item x="2"/>
        <item x="8"/>
        <item x="9"/>
        <item x="10"/>
        <item x="17"/>
        <item x="0"/>
        <item x="3"/>
        <item x="22"/>
        <item x="21"/>
        <item t="default"/>
      </items>
    </pivotField>
    <pivotField compact="0" showAll="0">
      <items count="24">
        <item x="19"/>
        <item x="5"/>
        <item x="20"/>
        <item x="18"/>
        <item x="12"/>
        <item x="11"/>
        <item x="4"/>
        <item x="13"/>
        <item x="1"/>
        <item x="7"/>
        <item x="15"/>
        <item x="16"/>
        <item x="6"/>
        <item x="14"/>
        <item x="2"/>
        <item x="8"/>
        <item x="9"/>
        <item x="10"/>
        <item x="17"/>
        <item x="0"/>
        <item x="3"/>
        <item x="22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7">
        <item x="22"/>
        <item x="6"/>
        <item x="23"/>
        <item x="21"/>
        <item x="13"/>
        <item x="12"/>
        <item x="5"/>
        <item x="14"/>
        <item x="1"/>
        <item x="8"/>
        <item x="17"/>
        <item x="16"/>
        <item x="18"/>
        <item x="7"/>
        <item x="15"/>
        <item x="9"/>
        <item x="2"/>
        <item x="10"/>
        <item x="11"/>
        <item x="20"/>
        <item x="19"/>
        <item x="0"/>
        <item x="4"/>
        <item x="3"/>
        <item x="25"/>
        <item x="24"/>
        <item t="default"/>
      </items>
    </pivotField>
    <pivotField dataField="1" compact="0" showAll="0">
      <items count="27">
        <item x="22"/>
        <item x="6"/>
        <item x="23"/>
        <item x="21"/>
        <item x="13"/>
        <item x="12"/>
        <item x="5"/>
        <item x="14"/>
        <item x="1"/>
        <item x="17"/>
        <item x="8"/>
        <item x="16"/>
        <item x="18"/>
        <item x="7"/>
        <item x="15"/>
        <item x="9"/>
        <item x="2"/>
        <item x="10"/>
        <item x="11"/>
        <item x="19"/>
        <item x="20"/>
        <item x="0"/>
        <item x="3"/>
        <item x="4"/>
        <item x="25"/>
        <item x="24"/>
        <item t="default"/>
      </items>
    </pivotField>
    <pivotField dataField="1" compact="0" showAll="0">
      <items count="24">
        <item x="19"/>
        <item x="5"/>
        <item x="20"/>
        <item x="18"/>
        <item x="12"/>
        <item x="11"/>
        <item x="4"/>
        <item x="13"/>
        <item x="1"/>
        <item x="7"/>
        <item x="15"/>
        <item x="16"/>
        <item x="6"/>
        <item x="14"/>
        <item x="8"/>
        <item x="2"/>
        <item x="9"/>
        <item x="10"/>
        <item x="17"/>
        <item x="0"/>
        <item x="3"/>
        <item x="22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0">
        <item x="24"/>
        <item x="8"/>
        <item x="26"/>
        <item x="25"/>
        <item x="23"/>
        <item x="15"/>
        <item x="14"/>
        <item x="7"/>
        <item x="6"/>
        <item x="16"/>
        <item x="3"/>
        <item x="1"/>
        <item x="10"/>
        <item x="19"/>
        <item x="18"/>
        <item x="20"/>
        <item x="9"/>
        <item x="17"/>
        <item x="2"/>
        <item x="11"/>
        <item x="12"/>
        <item x="13"/>
        <item x="22"/>
        <item x="21"/>
        <item x="0"/>
        <item x="5"/>
        <item x="4"/>
        <item x="28"/>
        <item x="27"/>
        <item t="default"/>
      </items>
    </pivotField>
    <pivotField dataField="1" compact="0" showAll="0">
      <items count="28">
        <item x="8"/>
        <item x="24"/>
        <item x="23"/>
        <item x="15"/>
        <item x="14"/>
        <item x="7"/>
        <item x="6"/>
        <item x="16"/>
        <item x="3"/>
        <item x="1"/>
        <item x="10"/>
        <item x="19"/>
        <item x="18"/>
        <item x="20"/>
        <item x="9"/>
        <item x="2"/>
        <item x="17"/>
        <item x="11"/>
        <item x="12"/>
        <item x="13"/>
        <item x="22"/>
        <item x="21"/>
        <item x="0"/>
        <item x="5"/>
        <item x="4"/>
        <item x="26"/>
        <item x="25"/>
        <item t="default"/>
      </items>
    </pivotField>
    <pivotField dataField="1" compact="0" showAll="0">
      <items count="28">
        <item x="8"/>
        <item x="24"/>
        <item x="23"/>
        <item x="15"/>
        <item x="14"/>
        <item x="7"/>
        <item x="6"/>
        <item x="16"/>
        <item x="3"/>
        <item x="1"/>
        <item x="10"/>
        <item x="19"/>
        <item x="18"/>
        <item x="20"/>
        <item x="9"/>
        <item x="2"/>
        <item x="17"/>
        <item x="11"/>
        <item x="12"/>
        <item x="13"/>
        <item x="22"/>
        <item x="21"/>
        <item x="0"/>
        <item x="5"/>
        <item x="4"/>
        <item x="26"/>
        <item x="25"/>
        <item t="default"/>
      </items>
    </pivotField>
    <pivotField dataField="1" compact="0" showAll="0">
      <items count="30">
        <item x="24"/>
        <item x="8"/>
        <item x="26"/>
        <item x="25"/>
        <item x="23"/>
        <item x="15"/>
        <item x="14"/>
        <item x="7"/>
        <item x="6"/>
        <item x="16"/>
        <item x="3"/>
        <item x="1"/>
        <item x="10"/>
        <item x="19"/>
        <item x="18"/>
        <item x="20"/>
        <item x="9"/>
        <item x="17"/>
        <item x="2"/>
        <item x="11"/>
        <item x="12"/>
        <item x="13"/>
        <item x="22"/>
        <item x="21"/>
        <item x="0"/>
        <item x="5"/>
        <item x="4"/>
        <item x="28"/>
        <item x="27"/>
        <item t="default"/>
      </items>
    </pivotField>
    <pivotField dataField="1" compact="0" showAll="0">
      <items count="30">
        <item x="24"/>
        <item x="8"/>
        <item x="26"/>
        <item x="25"/>
        <item x="23"/>
        <item x="15"/>
        <item x="14"/>
        <item x="7"/>
        <item x="6"/>
        <item x="16"/>
        <item x="3"/>
        <item x="1"/>
        <item x="10"/>
        <item x="19"/>
        <item x="18"/>
        <item x="20"/>
        <item x="9"/>
        <item x="17"/>
        <item x="2"/>
        <item x="11"/>
        <item x="12"/>
        <item x="13"/>
        <item x="22"/>
        <item x="21"/>
        <item x="0"/>
        <item x="5"/>
        <item x="4"/>
        <item x="28"/>
        <item x="2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1">
        <item x="3"/>
        <item x="4"/>
        <item x="6"/>
        <item x="8"/>
        <item x="5"/>
        <item x="9"/>
        <item x="0"/>
        <item x="1"/>
        <item x="2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2"/>
        <item x="3"/>
        <item x="0"/>
        <item x="5"/>
        <item x="1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7">
        <item x="3"/>
        <item x="19"/>
        <item x="22"/>
        <item x="5"/>
        <item x="20"/>
        <item x="21"/>
        <item x="23"/>
        <item x="18"/>
        <item x="12"/>
        <item x="11"/>
        <item x="4"/>
        <item x="13"/>
        <item x="1"/>
        <item x="7"/>
        <item x="15"/>
        <item x="16"/>
        <item x="6"/>
        <item x="14"/>
        <item x="2"/>
        <item x="8"/>
        <item x="9"/>
        <item x="10"/>
        <item x="17"/>
        <item x="0"/>
        <item x="25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Page" compact="0" showAll="0">
      <items count="3">
        <item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73" item="1"/>
  </pageFields>
  <dataFields count="9">
    <dataField name="求和项:实发数量" fld="10" baseField="0" baseItem="0"/>
    <dataField name="求和项:总成本不含税" fld="26" baseField="0" baseItem="0"/>
    <dataField name="求和项:总税额" fld="27" baseField="0" baseItem="0"/>
    <dataField name="求和项:总成本含税" fld="28" baseField="0" baseItem="0"/>
    <dataField name="求和项:东莞成本含税" fld="52" baseField="0" baseItem="0"/>
    <dataField name="求和项:东莞成本不含税" fld="53" baseField="0" baseItem="0"/>
    <dataField name="求和项:料" fld="49" baseField="0" baseItem="0"/>
    <dataField name="求和项:工" fld="50" baseField="0" baseItem="0"/>
    <dataField name="求和项:费" fld="5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7:C10" firstHeaderRow="1" firstDataRow="2" firstDataCol="1"/>
  <pivotFields count="69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2">
    <i>
      <x/>
    </i>
    <i t="grand">
      <x/>
    </i>
  </rowItems>
  <colFields count="1">
    <field x="55"/>
  </colFields>
  <colItems count="2">
    <i>
      <x/>
    </i>
    <i t="grand">
      <x/>
    </i>
  </colItems>
  <dataFields count="1">
    <dataField name="求和项:总成本含税" fld="2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5:C8" firstHeaderRow="1" firstDataRow="2" firstDataCol="1"/>
  <pivotFields count="72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2">
    <i>
      <x/>
    </i>
    <i t="grand">
      <x/>
    </i>
  </rowItems>
  <colFields count="1">
    <field x="55"/>
  </colFields>
  <colItems count="2">
    <i>
      <x/>
    </i>
    <i t="grand">
      <x/>
    </i>
  </colItems>
  <dataFields count="1">
    <dataField name="求和项:总成本含税" fld="2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8" cacheId="2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7:E17" firstHeaderRow="1" firstDataRow="2" firstDataCol="2"/>
  <pivotFields count="49">
    <pivotField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numFmtId="176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7" showAll="0"/>
    <pivotField compact="0" numFmtId="177" showAll="0"/>
    <pivotField compact="0" numFmtId="178" showAll="0"/>
    <pivotField dataField="1" compact="0" numFmtId="176" showAll="0">
      <items count="5">
        <item x="3"/>
        <item x="2"/>
        <item x="1"/>
        <item x="0"/>
        <item t="default"/>
      </items>
    </pivotField>
    <pivotField dataField="1" compact="0" numFmtId="176" showAll="0">
      <items count="5">
        <item x="3"/>
        <item x="2"/>
        <item x="1"/>
        <item x="0"/>
        <item t="default"/>
      </items>
    </pivotField>
    <pivotField dataField="1" compact="0" numFmtId="176" showAll="0">
      <items count="5">
        <item x="3"/>
        <item x="2"/>
        <item x="1"/>
        <item x="0"/>
        <item t="default"/>
      </items>
    </pivotField>
    <pivotField compact="0" showAll="0"/>
    <pivotField compact="0" showAll="0"/>
    <pivotField compact="0" numFmtId="176" showAll="0"/>
    <pivotField compact="0" numFmtId="176" showAll="0"/>
    <pivotField compact="0" numFmtId="176" showAll="0"/>
    <pivotField compact="0" numFmtId="179" showAll="0"/>
    <pivotField compact="0" numFmtId="179" showAll="0"/>
    <pivotField compact="0" numFmtId="179" showAll="0"/>
    <pivotField compact="0" numFmtId="179" showAll="0"/>
    <pivotField compact="0" numFmtId="179" showAll="0"/>
    <pivotField compact="0" numFmtId="179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-2"/>
    <field x="8"/>
  </rowFields>
  <rowItems count="9">
    <i>
      <x/>
    </i>
    <i r="1">
      <x/>
    </i>
    <i i="1">
      <x v="1"/>
    </i>
    <i r="1" i="1">
      <x/>
    </i>
    <i i="2">
      <x v="2"/>
    </i>
    <i r="1" i="2">
      <x/>
    </i>
    <i t="grand">
      <x/>
    </i>
    <i t="grand">
      <x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3">
    <dataField name="求和项:总成本不含税" fld="21" baseField="0" baseItem="0"/>
    <dataField name="求和项:总税额" fld="22" baseField="0" baseItem="0"/>
    <dataField name="求和项:总成本含税" fld="2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1.vml"/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03"/>
  <sheetViews>
    <sheetView tabSelected="1" workbookViewId="0">
      <pane ySplit="1" topLeftCell="A2" activePane="bottomLeft" state="frozen"/>
      <selection/>
      <selection pane="bottomLeft" activeCell="A1" sqref="A1:I92"/>
    </sheetView>
  </sheetViews>
  <sheetFormatPr defaultColWidth="9" defaultRowHeight="13.5"/>
  <cols>
    <col min="1" max="1" width="9.375" style="24" customWidth="1"/>
    <col min="2" max="3" width="13" style="24" customWidth="1"/>
    <col min="4" max="4" width="13.75" style="24" customWidth="1"/>
    <col min="5" max="5" width="24" style="24" customWidth="1"/>
    <col min="6" max="6" width="6.375" style="24" customWidth="1"/>
    <col min="7" max="7" width="17.25" style="24" customWidth="1"/>
    <col min="8" max="8" width="11.5" style="24" customWidth="1"/>
    <col min="9" max="9" width="15" style="24" customWidth="1"/>
    <col min="10" max="10" width="13.75" style="24" customWidth="1"/>
    <col min="11" max="11" width="16" style="24" customWidth="1"/>
    <col min="12" max="14" width="12.625" style="24" customWidth="1"/>
    <col min="15" max="16" width="18.125" style="24" customWidth="1"/>
    <col min="17" max="17" width="15.5" style="24" customWidth="1"/>
    <col min="18" max="18" width="9" style="24"/>
    <col min="19" max="19" width="9.375" style="24"/>
    <col min="20" max="16384" width="9" style="24"/>
  </cols>
  <sheetData>
    <row r="1" s="29" customFormat="1" spans="1:17">
      <c r="A1" s="29" t="s">
        <v>0</v>
      </c>
      <c r="B1" s="29" t="s">
        <v>1</v>
      </c>
      <c r="C1" s="31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</row>
    <row r="2" hidden="1" spans="1:14">
      <c r="A2" s="32" t="s">
        <v>17</v>
      </c>
      <c r="B2" s="32" t="s">
        <v>18</v>
      </c>
      <c r="C2" s="33" t="s">
        <v>19</v>
      </c>
      <c r="D2" s="32" t="s">
        <v>20</v>
      </c>
      <c r="E2" s="32" t="s">
        <v>21</v>
      </c>
      <c r="F2" s="32">
        <v>960</v>
      </c>
      <c r="G2" s="32">
        <v>46700.19</v>
      </c>
      <c r="H2" s="32">
        <v>6071.01</v>
      </c>
      <c r="I2" s="32">
        <v>52771.2</v>
      </c>
      <c r="J2" s="32">
        <v>39681.0337680268</v>
      </c>
      <c r="K2" s="32">
        <v>36810.9350605685</v>
      </c>
      <c r="L2" s="32">
        <v>28065.7600686737</v>
      </c>
      <c r="M2" s="32">
        <v>4452.42991095386</v>
      </c>
      <c r="N2" s="32">
        <v>4292.74508094055</v>
      </c>
    </row>
    <row r="3" hidden="1" spans="1:14">
      <c r="A3" s="32" t="s">
        <v>17</v>
      </c>
      <c r="B3" s="32" t="s">
        <v>18</v>
      </c>
      <c r="C3" s="33" t="s">
        <v>19</v>
      </c>
      <c r="D3" s="32" t="s">
        <v>22</v>
      </c>
      <c r="E3" s="32" t="s">
        <v>23</v>
      </c>
      <c r="F3" s="32">
        <v>480</v>
      </c>
      <c r="G3" s="32">
        <v>23350.13</v>
      </c>
      <c r="H3" s="32">
        <v>3035.47</v>
      </c>
      <c r="I3" s="32">
        <v>26385.6</v>
      </c>
      <c r="J3" s="32">
        <v>20096.5122394964</v>
      </c>
      <c r="K3" s="32">
        <v>18638.6827398773</v>
      </c>
      <c r="L3" s="32">
        <v>14266.1069798634</v>
      </c>
      <c r="M3" s="32">
        <v>2226.21121425621</v>
      </c>
      <c r="N3" s="32">
        <v>2146.36454575767</v>
      </c>
    </row>
    <row r="4" hidden="1" spans="1:14">
      <c r="A4" s="32" t="s">
        <v>17</v>
      </c>
      <c r="B4" s="32" t="s">
        <v>18</v>
      </c>
      <c r="C4" s="33" t="s">
        <v>19</v>
      </c>
      <c r="D4" s="32" t="s">
        <v>24</v>
      </c>
      <c r="E4" s="32" t="s">
        <v>25</v>
      </c>
      <c r="F4" s="32">
        <v>48</v>
      </c>
      <c r="G4" s="32">
        <v>191.16</v>
      </c>
      <c r="H4" s="32">
        <v>24.84</v>
      </c>
      <c r="I4" s="32">
        <v>216</v>
      </c>
      <c r="J4" s="32">
        <v>186.683727099183</v>
      </c>
      <c r="K4" s="32">
        <v>170.071986754966</v>
      </c>
      <c r="L4" s="32">
        <v>170.071986754966</v>
      </c>
      <c r="M4" s="32">
        <v>0</v>
      </c>
      <c r="N4" s="32">
        <v>0</v>
      </c>
    </row>
    <row r="5" hidden="1" spans="1:14">
      <c r="A5" s="32" t="s">
        <v>17</v>
      </c>
      <c r="B5" s="32" t="s">
        <v>18</v>
      </c>
      <c r="C5" s="33" t="s">
        <v>19</v>
      </c>
      <c r="D5" s="32" t="s">
        <v>24</v>
      </c>
      <c r="E5" s="32" t="s">
        <v>25</v>
      </c>
      <c r="F5" s="32">
        <v>48</v>
      </c>
      <c r="G5" s="32">
        <v>191.16</v>
      </c>
      <c r="H5" s="32">
        <v>24.84</v>
      </c>
      <c r="I5" s="32">
        <v>216</v>
      </c>
      <c r="J5" s="32">
        <v>186.683727099183</v>
      </c>
      <c r="K5" s="32">
        <v>170.071986754966</v>
      </c>
      <c r="L5" s="32">
        <v>170.071986754966</v>
      </c>
      <c r="M5" s="32">
        <v>0</v>
      </c>
      <c r="N5" s="32">
        <v>0</v>
      </c>
    </row>
    <row r="6" hidden="1" spans="1:14">
      <c r="A6" s="32" t="s">
        <v>17</v>
      </c>
      <c r="B6" s="32" t="s">
        <v>18</v>
      </c>
      <c r="C6" s="33" t="s">
        <v>19</v>
      </c>
      <c r="D6" s="32" t="s">
        <v>24</v>
      </c>
      <c r="E6" s="32" t="s">
        <v>25</v>
      </c>
      <c r="F6" s="32">
        <v>37</v>
      </c>
      <c r="G6" s="32">
        <v>147.35</v>
      </c>
      <c r="H6" s="32">
        <v>19.15</v>
      </c>
      <c r="I6" s="32">
        <v>166.5</v>
      </c>
      <c r="J6" s="32">
        <v>143.902039598366</v>
      </c>
      <c r="K6" s="32">
        <v>131.097156409933</v>
      </c>
      <c r="L6" s="32">
        <v>131.097173509933</v>
      </c>
      <c r="M6" s="32">
        <v>0</v>
      </c>
      <c r="N6" s="32">
        <v>0</v>
      </c>
    </row>
    <row r="7" hidden="1" spans="1:14">
      <c r="A7" s="32" t="s">
        <v>18</v>
      </c>
      <c r="B7" s="32" t="s">
        <v>18</v>
      </c>
      <c r="C7" s="34" t="s">
        <v>26</v>
      </c>
      <c r="D7" s="32" t="s">
        <v>24</v>
      </c>
      <c r="E7" s="32" t="s">
        <v>25</v>
      </c>
      <c r="F7" s="32">
        <v>24</v>
      </c>
      <c r="G7" s="32">
        <v>95.58</v>
      </c>
      <c r="H7" s="32">
        <v>12.42</v>
      </c>
      <c r="I7" s="32">
        <v>108</v>
      </c>
      <c r="J7" s="32">
        <v>94.3835916526382</v>
      </c>
      <c r="K7" s="32">
        <v>84.9744431418523</v>
      </c>
      <c r="L7" s="32">
        <v>84.9744431418523</v>
      </c>
      <c r="M7" s="32">
        <v>0</v>
      </c>
      <c r="N7" s="32">
        <v>0</v>
      </c>
    </row>
    <row r="8" hidden="1" spans="1:14">
      <c r="A8" s="32" t="s">
        <v>18</v>
      </c>
      <c r="B8" s="32" t="s">
        <v>18</v>
      </c>
      <c r="C8" s="34" t="s">
        <v>26</v>
      </c>
      <c r="D8" s="32" t="s">
        <v>24</v>
      </c>
      <c r="E8" s="32" t="s">
        <v>25</v>
      </c>
      <c r="F8" s="32">
        <v>24</v>
      </c>
      <c r="G8" s="32">
        <v>95.58</v>
      </c>
      <c r="H8" s="32">
        <v>12.42</v>
      </c>
      <c r="I8" s="32">
        <v>108</v>
      </c>
      <c r="J8" s="32">
        <v>94.3835916526382</v>
      </c>
      <c r="K8" s="32">
        <v>84.9744431418523</v>
      </c>
      <c r="L8" s="32">
        <v>84.9744431418523</v>
      </c>
      <c r="M8" s="32">
        <v>0</v>
      </c>
      <c r="N8" s="32">
        <v>0</v>
      </c>
    </row>
    <row r="9" hidden="1" spans="1:14">
      <c r="A9" s="32" t="s">
        <v>18</v>
      </c>
      <c r="B9" s="32" t="s">
        <v>18</v>
      </c>
      <c r="C9" s="34" t="s">
        <v>26</v>
      </c>
      <c r="D9" s="32" t="s">
        <v>24</v>
      </c>
      <c r="E9" s="32" t="s">
        <v>25</v>
      </c>
      <c r="F9" s="32">
        <v>24</v>
      </c>
      <c r="G9" s="32">
        <v>95.58</v>
      </c>
      <c r="H9" s="32">
        <v>12.42</v>
      </c>
      <c r="I9" s="32">
        <v>108</v>
      </c>
      <c r="J9" s="32">
        <v>94.3835916526382</v>
      </c>
      <c r="K9" s="32">
        <v>84.9744431418523</v>
      </c>
      <c r="L9" s="32">
        <v>84.9744431418523</v>
      </c>
      <c r="M9" s="32">
        <v>0</v>
      </c>
      <c r="N9" s="32">
        <v>0</v>
      </c>
    </row>
    <row r="10" hidden="1" spans="1:14">
      <c r="A10" s="32" t="s">
        <v>18</v>
      </c>
      <c r="B10" s="32" t="s">
        <v>18</v>
      </c>
      <c r="C10" s="34" t="s">
        <v>26</v>
      </c>
      <c r="D10" s="32" t="s">
        <v>24</v>
      </c>
      <c r="E10" s="32" t="s">
        <v>25</v>
      </c>
      <c r="F10" s="32">
        <v>24</v>
      </c>
      <c r="G10" s="32">
        <v>95.58</v>
      </c>
      <c r="H10" s="32">
        <v>12.42</v>
      </c>
      <c r="I10" s="32">
        <v>108</v>
      </c>
      <c r="J10" s="32">
        <v>94.3835916526382</v>
      </c>
      <c r="K10" s="32">
        <v>84.9744431418523</v>
      </c>
      <c r="L10" s="32">
        <v>84.9744431418523</v>
      </c>
      <c r="M10" s="32">
        <v>0</v>
      </c>
      <c r="N10" s="32">
        <v>0</v>
      </c>
    </row>
    <row r="11" hidden="1" spans="1:14">
      <c r="A11" s="32" t="s">
        <v>18</v>
      </c>
      <c r="B11" s="32" t="s">
        <v>18</v>
      </c>
      <c r="C11" s="34" t="s">
        <v>19</v>
      </c>
      <c r="D11" s="32" t="s">
        <v>24</v>
      </c>
      <c r="E11" s="32" t="s">
        <v>25</v>
      </c>
      <c r="F11" s="32">
        <v>24</v>
      </c>
      <c r="G11" s="32">
        <v>95.58</v>
      </c>
      <c r="H11" s="32">
        <v>12.42</v>
      </c>
      <c r="I11" s="32">
        <v>108</v>
      </c>
      <c r="J11" s="32">
        <v>94.3835916526382</v>
      </c>
      <c r="K11" s="32">
        <v>84.9744431418523</v>
      </c>
      <c r="L11" s="32">
        <v>84.9744431418523</v>
      </c>
      <c r="M11" s="32">
        <v>0</v>
      </c>
      <c r="N11" s="32">
        <v>0</v>
      </c>
    </row>
    <row r="12" hidden="1" spans="1:14">
      <c r="A12" s="32" t="s">
        <v>18</v>
      </c>
      <c r="B12" s="32" t="s">
        <v>18</v>
      </c>
      <c r="C12" s="34" t="s">
        <v>19</v>
      </c>
      <c r="D12" s="32" t="s">
        <v>24</v>
      </c>
      <c r="E12" s="32" t="s">
        <v>25</v>
      </c>
      <c r="F12" s="32">
        <v>24</v>
      </c>
      <c r="G12" s="32">
        <v>95.58</v>
      </c>
      <c r="H12" s="32">
        <v>12.42</v>
      </c>
      <c r="I12" s="32">
        <v>108</v>
      </c>
      <c r="J12" s="32">
        <v>94.3835916526382</v>
      </c>
      <c r="K12" s="32">
        <v>84.9744431418523</v>
      </c>
      <c r="L12" s="32">
        <v>84.9744431418523</v>
      </c>
      <c r="M12" s="32">
        <v>0</v>
      </c>
      <c r="N12" s="32">
        <v>0</v>
      </c>
    </row>
    <row r="13" hidden="1" spans="1:14">
      <c r="A13" s="32" t="s">
        <v>18</v>
      </c>
      <c r="B13" s="32" t="s">
        <v>18</v>
      </c>
      <c r="C13" s="34" t="s">
        <v>19</v>
      </c>
      <c r="D13" s="32" t="s">
        <v>24</v>
      </c>
      <c r="E13" s="32" t="s">
        <v>25</v>
      </c>
      <c r="F13" s="32">
        <v>24</v>
      </c>
      <c r="G13" s="32">
        <v>95.58</v>
      </c>
      <c r="H13" s="32">
        <v>12.42</v>
      </c>
      <c r="I13" s="32">
        <v>108</v>
      </c>
      <c r="J13" s="32">
        <v>94.3835916526382</v>
      </c>
      <c r="K13" s="32">
        <v>84.9744431418523</v>
      </c>
      <c r="L13" s="32">
        <v>84.9744431418523</v>
      </c>
      <c r="M13" s="32">
        <v>0</v>
      </c>
      <c r="N13" s="32">
        <v>0</v>
      </c>
    </row>
    <row r="14" hidden="1" spans="1:14">
      <c r="A14" s="32" t="s">
        <v>18</v>
      </c>
      <c r="B14" s="32" t="s">
        <v>18</v>
      </c>
      <c r="C14" s="34" t="s">
        <v>19</v>
      </c>
      <c r="D14" s="32" t="s">
        <v>24</v>
      </c>
      <c r="E14" s="32" t="s">
        <v>25</v>
      </c>
      <c r="F14" s="32">
        <v>24</v>
      </c>
      <c r="G14" s="32">
        <v>95.58</v>
      </c>
      <c r="H14" s="32">
        <v>12.42</v>
      </c>
      <c r="I14" s="32">
        <v>108</v>
      </c>
      <c r="J14" s="32">
        <v>94.3835916526382</v>
      </c>
      <c r="K14" s="32">
        <v>84.9744431418523</v>
      </c>
      <c r="L14" s="32">
        <v>84.9744431418523</v>
      </c>
      <c r="M14" s="32">
        <v>0</v>
      </c>
      <c r="N14" s="32">
        <v>0</v>
      </c>
    </row>
    <row r="15" hidden="1" spans="1:14">
      <c r="A15" s="32" t="s">
        <v>18</v>
      </c>
      <c r="B15" s="32" t="s">
        <v>18</v>
      </c>
      <c r="C15" s="34" t="s">
        <v>19</v>
      </c>
      <c r="D15" s="32" t="s">
        <v>24</v>
      </c>
      <c r="E15" s="32" t="s">
        <v>25</v>
      </c>
      <c r="F15" s="32">
        <v>24</v>
      </c>
      <c r="G15" s="32">
        <v>95.58</v>
      </c>
      <c r="H15" s="32">
        <v>12.42</v>
      </c>
      <c r="I15" s="32">
        <v>108</v>
      </c>
      <c r="J15" s="32">
        <v>94.3835916526382</v>
      </c>
      <c r="K15" s="32">
        <v>84.9744431418523</v>
      </c>
      <c r="L15" s="32">
        <v>84.9744431418523</v>
      </c>
      <c r="M15" s="32">
        <v>0</v>
      </c>
      <c r="N15" s="32">
        <v>0</v>
      </c>
    </row>
    <row r="16" hidden="1" spans="1:14">
      <c r="A16" s="32" t="s">
        <v>18</v>
      </c>
      <c r="B16" s="32" t="s">
        <v>18</v>
      </c>
      <c r="C16" s="34" t="s">
        <v>19</v>
      </c>
      <c r="D16" s="32" t="s">
        <v>24</v>
      </c>
      <c r="E16" s="32" t="s">
        <v>25</v>
      </c>
      <c r="F16" s="32">
        <v>24</v>
      </c>
      <c r="G16" s="32">
        <v>95.58</v>
      </c>
      <c r="H16" s="32">
        <v>12.42</v>
      </c>
      <c r="I16" s="32">
        <v>108</v>
      </c>
      <c r="J16" s="32">
        <v>94.3835916526382</v>
      </c>
      <c r="K16" s="32">
        <v>84.9744431418523</v>
      </c>
      <c r="L16" s="32">
        <v>84.9744431418523</v>
      </c>
      <c r="M16" s="32">
        <v>0</v>
      </c>
      <c r="N16" s="32">
        <v>0</v>
      </c>
    </row>
    <row r="17" hidden="1" spans="1:14">
      <c r="A17" s="32" t="s">
        <v>18</v>
      </c>
      <c r="B17" s="32" t="s">
        <v>18</v>
      </c>
      <c r="C17" s="34" t="s">
        <v>19</v>
      </c>
      <c r="D17" s="32" t="s">
        <v>24</v>
      </c>
      <c r="E17" s="32" t="s">
        <v>25</v>
      </c>
      <c r="F17" s="32">
        <v>24</v>
      </c>
      <c r="G17" s="32">
        <v>95.58</v>
      </c>
      <c r="H17" s="32">
        <v>12.42</v>
      </c>
      <c r="I17" s="32">
        <v>108</v>
      </c>
      <c r="J17" s="32">
        <v>94.3835916526382</v>
      </c>
      <c r="K17" s="32">
        <v>84.9744431418523</v>
      </c>
      <c r="L17" s="32">
        <v>84.9744431418523</v>
      </c>
      <c r="M17" s="32">
        <v>0</v>
      </c>
      <c r="N17" s="32">
        <v>0</v>
      </c>
    </row>
    <row r="18" hidden="1" spans="1:14">
      <c r="A18" s="32" t="s">
        <v>18</v>
      </c>
      <c r="B18" s="32" t="s">
        <v>18</v>
      </c>
      <c r="C18" s="34" t="s">
        <v>19</v>
      </c>
      <c r="D18" s="32" t="s">
        <v>24</v>
      </c>
      <c r="E18" s="32" t="s">
        <v>25</v>
      </c>
      <c r="F18" s="32">
        <v>24</v>
      </c>
      <c r="G18" s="32">
        <v>95.58</v>
      </c>
      <c r="H18" s="32">
        <v>12.42</v>
      </c>
      <c r="I18" s="32">
        <v>108</v>
      </c>
      <c r="J18" s="32">
        <v>94.3835916526382</v>
      </c>
      <c r="K18" s="32">
        <v>84.9744431418523</v>
      </c>
      <c r="L18" s="32">
        <v>84.9744431418523</v>
      </c>
      <c r="M18" s="32">
        <v>0</v>
      </c>
      <c r="N18" s="32">
        <v>0</v>
      </c>
    </row>
    <row r="19" hidden="1" spans="1:14">
      <c r="A19" s="32" t="s">
        <v>18</v>
      </c>
      <c r="B19" s="32" t="s">
        <v>18</v>
      </c>
      <c r="C19" s="34" t="s">
        <v>19</v>
      </c>
      <c r="D19" s="32" t="s">
        <v>24</v>
      </c>
      <c r="E19" s="32" t="s">
        <v>25</v>
      </c>
      <c r="F19" s="32">
        <v>24</v>
      </c>
      <c r="G19" s="32">
        <v>95.58</v>
      </c>
      <c r="H19" s="32">
        <v>12.42</v>
      </c>
      <c r="I19" s="32">
        <v>108</v>
      </c>
      <c r="J19" s="32">
        <v>94.3835916526382</v>
      </c>
      <c r="K19" s="32">
        <v>84.9744431418523</v>
      </c>
      <c r="L19" s="32">
        <v>84.9744431418523</v>
      </c>
      <c r="M19" s="32">
        <v>0</v>
      </c>
      <c r="N19" s="32">
        <v>0</v>
      </c>
    </row>
    <row r="20" hidden="1" spans="1:14">
      <c r="A20" s="32" t="s">
        <v>18</v>
      </c>
      <c r="B20" s="32" t="s">
        <v>18</v>
      </c>
      <c r="C20" s="34" t="s">
        <v>19</v>
      </c>
      <c r="D20" s="32" t="s">
        <v>24</v>
      </c>
      <c r="E20" s="32" t="s">
        <v>25</v>
      </c>
      <c r="F20" s="32">
        <v>24</v>
      </c>
      <c r="G20" s="32">
        <v>95.58</v>
      </c>
      <c r="H20" s="32">
        <v>12.42</v>
      </c>
      <c r="I20" s="32">
        <v>108</v>
      </c>
      <c r="J20" s="32">
        <v>94.3835916526382</v>
      </c>
      <c r="K20" s="32">
        <v>84.9744431418523</v>
      </c>
      <c r="L20" s="32">
        <v>84.9744431418523</v>
      </c>
      <c r="M20" s="32">
        <v>0</v>
      </c>
      <c r="N20" s="32">
        <v>0</v>
      </c>
    </row>
    <row r="21" hidden="1" spans="1:14">
      <c r="A21" s="32" t="s">
        <v>18</v>
      </c>
      <c r="B21" s="32" t="s">
        <v>18</v>
      </c>
      <c r="C21" s="34" t="s">
        <v>19</v>
      </c>
      <c r="D21" s="32" t="s">
        <v>24</v>
      </c>
      <c r="E21" s="32" t="s">
        <v>25</v>
      </c>
      <c r="F21" s="32">
        <v>24</v>
      </c>
      <c r="G21" s="32">
        <v>95.58</v>
      </c>
      <c r="H21" s="32">
        <v>12.42</v>
      </c>
      <c r="I21" s="32">
        <v>108</v>
      </c>
      <c r="J21" s="32">
        <v>94.3835916526382</v>
      </c>
      <c r="K21" s="32">
        <v>84.9744431418523</v>
      </c>
      <c r="L21" s="32">
        <v>84.9744431418523</v>
      </c>
      <c r="M21" s="32">
        <v>0</v>
      </c>
      <c r="N21" s="32">
        <v>0</v>
      </c>
    </row>
    <row r="22" hidden="1" spans="1:14">
      <c r="A22" s="32" t="s">
        <v>18</v>
      </c>
      <c r="B22" s="32" t="s">
        <v>18</v>
      </c>
      <c r="C22" s="34" t="s">
        <v>19</v>
      </c>
      <c r="D22" s="32" t="s">
        <v>20</v>
      </c>
      <c r="E22" s="32" t="s">
        <v>21</v>
      </c>
      <c r="F22" s="32">
        <v>1024</v>
      </c>
      <c r="G22" s="32">
        <v>45010.69</v>
      </c>
      <c r="H22" s="32">
        <v>5851.39</v>
      </c>
      <c r="I22" s="32">
        <v>50862.08</v>
      </c>
      <c r="J22" s="32">
        <v>36068.0551659219</v>
      </c>
      <c r="K22" s="32">
        <v>32637.81238614</v>
      </c>
      <c r="L22" s="32">
        <v>30606.341925854</v>
      </c>
      <c r="M22" s="32">
        <v>657.193139742008</v>
      </c>
      <c r="N22" s="32">
        <v>1374.27732054396</v>
      </c>
    </row>
    <row r="23" hidden="1" spans="1:14">
      <c r="A23" s="32" t="s">
        <v>18</v>
      </c>
      <c r="B23" s="32" t="s">
        <v>18</v>
      </c>
      <c r="C23" s="34" t="s">
        <v>19</v>
      </c>
      <c r="D23" s="32" t="s">
        <v>20</v>
      </c>
      <c r="E23" s="32" t="s">
        <v>21</v>
      </c>
      <c r="F23" s="32">
        <v>512</v>
      </c>
      <c r="G23" s="32">
        <v>22505.35</v>
      </c>
      <c r="H23" s="32">
        <v>2925.69</v>
      </c>
      <c r="I23" s="32">
        <v>25431.04</v>
      </c>
      <c r="J23" s="32">
        <v>18034.0275829609</v>
      </c>
      <c r="K23" s="32">
        <v>16318.90619307</v>
      </c>
      <c r="L23" s="32">
        <v>15303.170962927</v>
      </c>
      <c r="M23" s="32">
        <v>328.596569871004</v>
      </c>
      <c r="N23" s="32">
        <v>687.138660271979</v>
      </c>
    </row>
    <row r="24" hidden="1" spans="1:14">
      <c r="A24" s="32" t="s">
        <v>18</v>
      </c>
      <c r="B24" s="32" t="s">
        <v>27</v>
      </c>
      <c r="C24" s="34" t="s">
        <v>26</v>
      </c>
      <c r="D24" s="32" t="s">
        <v>28</v>
      </c>
      <c r="E24" s="32" t="s">
        <v>29</v>
      </c>
      <c r="F24" s="32">
        <v>360</v>
      </c>
      <c r="G24" s="32">
        <v>16531.33</v>
      </c>
      <c r="H24" s="32">
        <v>2149.07</v>
      </c>
      <c r="I24" s="32">
        <v>18680.4</v>
      </c>
      <c r="J24" s="32">
        <v>13833.2088440596</v>
      </c>
      <c r="K24" s="32">
        <v>12511.5437849975</v>
      </c>
      <c r="L24" s="32">
        <v>11806.859823678</v>
      </c>
      <c r="M24" s="32">
        <v>227.970084420535</v>
      </c>
      <c r="N24" s="32">
        <v>476.713876898947</v>
      </c>
    </row>
    <row r="25" hidden="1" spans="1:14">
      <c r="A25" s="32" t="s">
        <v>18</v>
      </c>
      <c r="B25" s="32" t="s">
        <v>27</v>
      </c>
      <c r="C25" s="34" t="s">
        <v>26</v>
      </c>
      <c r="D25" s="32" t="s">
        <v>28</v>
      </c>
      <c r="E25" s="32" t="s">
        <v>29</v>
      </c>
      <c r="F25" s="32">
        <v>144</v>
      </c>
      <c r="G25" s="32">
        <v>6612.53</v>
      </c>
      <c r="H25" s="32">
        <v>859.63</v>
      </c>
      <c r="I25" s="32">
        <v>7472.16</v>
      </c>
      <c r="J25" s="32">
        <v>5533.28353762384</v>
      </c>
      <c r="K25" s="32">
        <v>5004.61751399902</v>
      </c>
      <c r="L25" s="32">
        <v>4722.74392947121</v>
      </c>
      <c r="M25" s="32">
        <v>91.1880337682141</v>
      </c>
      <c r="N25" s="32">
        <v>190.685550759579</v>
      </c>
    </row>
    <row r="26" hidden="1" spans="1:14">
      <c r="A26" s="32" t="s">
        <v>18</v>
      </c>
      <c r="B26" s="32" t="s">
        <v>27</v>
      </c>
      <c r="C26" s="34" t="s">
        <v>26</v>
      </c>
      <c r="D26" s="32" t="s">
        <v>30</v>
      </c>
      <c r="E26" s="32" t="s">
        <v>31</v>
      </c>
      <c r="F26" s="32">
        <v>504</v>
      </c>
      <c r="G26" s="32">
        <v>23143.86</v>
      </c>
      <c r="H26" s="32">
        <v>3008.7</v>
      </c>
      <c r="I26" s="32">
        <v>26152.56</v>
      </c>
      <c r="J26" s="32">
        <v>19324.6225634167</v>
      </c>
      <c r="K26" s="32">
        <v>17478.4630298944</v>
      </c>
      <c r="L26" s="32">
        <v>16491.9357912962</v>
      </c>
      <c r="M26" s="32">
        <v>319.148060214223</v>
      </c>
      <c r="N26" s="32">
        <v>667.379178383967</v>
      </c>
    </row>
    <row r="27" hidden="1" spans="1:14">
      <c r="A27" s="32" t="s">
        <v>18</v>
      </c>
      <c r="B27" s="32" t="s">
        <v>27</v>
      </c>
      <c r="C27" s="34" t="s">
        <v>19</v>
      </c>
      <c r="D27" s="32" t="s">
        <v>22</v>
      </c>
      <c r="E27" s="32" t="s">
        <v>23</v>
      </c>
      <c r="F27" s="32">
        <v>288</v>
      </c>
      <c r="G27" s="32">
        <v>12659.26</v>
      </c>
      <c r="H27" s="32">
        <v>1645.7</v>
      </c>
      <c r="I27" s="32">
        <v>14304.96</v>
      </c>
      <c r="J27" s="32">
        <v>10328.993076434</v>
      </c>
      <c r="K27" s="32">
        <v>9346.31553819314</v>
      </c>
      <c r="L27" s="32">
        <v>8768.74610491492</v>
      </c>
      <c r="M27" s="32">
        <v>186.847153072296</v>
      </c>
      <c r="N27" s="32">
        <v>390.722280205945</v>
      </c>
    </row>
    <row r="28" hidden="1" spans="1:14">
      <c r="A28" s="32" t="s">
        <v>18</v>
      </c>
      <c r="B28" s="32" t="s">
        <v>27</v>
      </c>
      <c r="C28" s="34" t="s">
        <v>19</v>
      </c>
      <c r="D28" s="32" t="s">
        <v>32</v>
      </c>
      <c r="E28" s="32" t="s">
        <v>33</v>
      </c>
      <c r="F28" s="32">
        <v>512</v>
      </c>
      <c r="G28" s="32">
        <v>22605.03</v>
      </c>
      <c r="H28" s="32">
        <v>2938.65</v>
      </c>
      <c r="I28" s="32">
        <v>25543.68</v>
      </c>
      <c r="J28" s="32">
        <v>19514.7585944888</v>
      </c>
      <c r="K28" s="32">
        <v>17648.828409203</v>
      </c>
      <c r="L28" s="32">
        <v>16672.3216321454</v>
      </c>
      <c r="M28" s="32">
        <v>315.904946857563</v>
      </c>
      <c r="N28" s="32">
        <v>660.601830200069</v>
      </c>
    </row>
    <row r="29" hidden="1" spans="1:14">
      <c r="A29" s="32" t="s">
        <v>18</v>
      </c>
      <c r="B29" s="32" t="s">
        <v>27</v>
      </c>
      <c r="C29" s="34" t="s">
        <v>19</v>
      </c>
      <c r="D29" s="32" t="s">
        <v>34</v>
      </c>
      <c r="E29" s="32" t="s">
        <v>35</v>
      </c>
      <c r="F29" s="32">
        <v>512</v>
      </c>
      <c r="G29" s="32">
        <v>22605.03</v>
      </c>
      <c r="H29" s="32">
        <v>2938.65</v>
      </c>
      <c r="I29" s="32">
        <v>25543.68</v>
      </c>
      <c r="J29" s="32">
        <v>19524.7403781112</v>
      </c>
      <c r="K29" s="32">
        <v>17657.8479272846</v>
      </c>
      <c r="L29" s="32">
        <v>16680.9385706466</v>
      </c>
      <c r="M29" s="32">
        <v>316.036886472491</v>
      </c>
      <c r="N29" s="32">
        <v>660.872470165602</v>
      </c>
    </row>
    <row r="30" hidden="1" spans="1:14">
      <c r="A30" s="32" t="s">
        <v>18</v>
      </c>
      <c r="B30" s="32" t="s">
        <v>27</v>
      </c>
      <c r="C30" s="34" t="s">
        <v>19</v>
      </c>
      <c r="D30" s="32" t="s">
        <v>28</v>
      </c>
      <c r="E30" s="32" t="s">
        <v>29</v>
      </c>
      <c r="F30" s="32">
        <v>504</v>
      </c>
      <c r="G30" s="32">
        <v>23143.86</v>
      </c>
      <c r="H30" s="32">
        <v>3008.7</v>
      </c>
      <c r="I30" s="32">
        <v>26152.56</v>
      </c>
      <c r="J30" s="32">
        <v>19366.4923816834</v>
      </c>
      <c r="K30" s="32">
        <v>17516.1612989966</v>
      </c>
      <c r="L30" s="32">
        <v>16529.6037531493</v>
      </c>
      <c r="M30" s="32">
        <v>319.158118188749</v>
      </c>
      <c r="N30" s="32">
        <v>667.399427658525</v>
      </c>
    </row>
    <row r="31" hidden="1" spans="1:14">
      <c r="A31" s="32" t="s">
        <v>18</v>
      </c>
      <c r="B31" s="32" t="s">
        <v>27</v>
      </c>
      <c r="C31" s="34" t="s">
        <v>19</v>
      </c>
      <c r="D31" s="32" t="s">
        <v>30</v>
      </c>
      <c r="E31" s="32" t="s">
        <v>31</v>
      </c>
      <c r="F31" s="32">
        <v>504</v>
      </c>
      <c r="G31" s="32">
        <v>23143.86</v>
      </c>
      <c r="H31" s="32">
        <v>3008.7</v>
      </c>
      <c r="I31" s="32">
        <v>26152.56</v>
      </c>
      <c r="J31" s="32">
        <v>19324.6225634167</v>
      </c>
      <c r="K31" s="32">
        <v>17478.4630298944</v>
      </c>
      <c r="L31" s="32">
        <v>16491.9357912962</v>
      </c>
      <c r="M31" s="32">
        <v>319.148060214223</v>
      </c>
      <c r="N31" s="32">
        <v>667.379178383967</v>
      </c>
    </row>
    <row r="32" hidden="1" spans="1:19">
      <c r="A32" s="32" t="s">
        <v>27</v>
      </c>
      <c r="B32" s="32" t="s">
        <v>27</v>
      </c>
      <c r="C32" s="32" t="s">
        <v>26</v>
      </c>
      <c r="D32" s="32" t="s">
        <v>28</v>
      </c>
      <c r="E32" s="32" t="s">
        <v>29</v>
      </c>
      <c r="F32" s="32">
        <v>306</v>
      </c>
      <c r="G32" s="32">
        <v>14051.62</v>
      </c>
      <c r="H32" s="32">
        <v>1826.72</v>
      </c>
      <c r="I32" s="32">
        <v>15878.34</v>
      </c>
      <c r="J32" s="32">
        <v>11767.5545936764</v>
      </c>
      <c r="K32" s="32">
        <v>10554.9166476714</v>
      </c>
      <c r="L32" s="32">
        <v>10183.3888646712</v>
      </c>
      <c r="M32" s="32">
        <v>158.127817879774</v>
      </c>
      <c r="N32" s="32">
        <v>213.399965120377</v>
      </c>
      <c r="O32" s="24">
        <v>1150.18</v>
      </c>
      <c r="Q32" s="29" t="s">
        <v>27</v>
      </c>
      <c r="S32" s="29"/>
    </row>
    <row r="33" hidden="1" spans="1:19">
      <c r="A33" s="32" t="s">
        <v>27</v>
      </c>
      <c r="B33" s="32" t="s">
        <v>27</v>
      </c>
      <c r="C33" s="32" t="s">
        <v>26</v>
      </c>
      <c r="D33" s="32" t="s">
        <v>30</v>
      </c>
      <c r="E33" s="32" t="s">
        <v>31</v>
      </c>
      <c r="F33" s="32">
        <v>816</v>
      </c>
      <c r="G33" s="32">
        <v>37470.97</v>
      </c>
      <c r="H33" s="32">
        <v>4871.27</v>
      </c>
      <c r="I33" s="32">
        <v>42342.24</v>
      </c>
      <c r="J33" s="32">
        <v>31372.8942453006</v>
      </c>
      <c r="K33" s="32">
        <v>28139.9422500617</v>
      </c>
      <c r="L33" s="32">
        <v>27149.41211991</v>
      </c>
      <c r="M33" s="32">
        <v>421.584472187477</v>
      </c>
      <c r="N33" s="32">
        <v>568.945657964358</v>
      </c>
      <c r="O33" s="24">
        <v>3067.14</v>
      </c>
      <c r="Q33" s="29" t="s">
        <v>27</v>
      </c>
      <c r="S33" s="29"/>
    </row>
    <row r="34" hidden="1" spans="1:19">
      <c r="A34" s="24" t="s">
        <v>27</v>
      </c>
      <c r="B34" s="24" t="s">
        <v>36</v>
      </c>
      <c r="C34" s="24" t="s">
        <v>26</v>
      </c>
      <c r="D34" s="24" t="s">
        <v>28</v>
      </c>
      <c r="E34" s="24" t="s">
        <v>29</v>
      </c>
      <c r="F34" s="24">
        <v>275</v>
      </c>
      <c r="G34" s="24">
        <v>12628.08</v>
      </c>
      <c r="H34" s="24">
        <v>1641.67</v>
      </c>
      <c r="I34" s="24">
        <v>14269.75</v>
      </c>
      <c r="J34" s="24">
        <v>10575.4167100033</v>
      </c>
      <c r="K34" s="24">
        <v>9485.62770624059</v>
      </c>
      <c r="L34" s="24">
        <v>9151.73835877311</v>
      </c>
      <c r="M34" s="24">
        <v>142.108333061888</v>
      </c>
      <c r="N34" s="24">
        <v>191.781014405567</v>
      </c>
      <c r="O34" s="24">
        <v>7923.43</v>
      </c>
      <c r="Q34" s="29"/>
      <c r="S34" s="29"/>
    </row>
    <row r="35" hidden="1" spans="1:19">
      <c r="A35" s="24" t="s">
        <v>27</v>
      </c>
      <c r="B35" s="24" t="s">
        <v>36</v>
      </c>
      <c r="C35" s="24" t="s">
        <v>26</v>
      </c>
      <c r="D35" s="24" t="s">
        <v>30</v>
      </c>
      <c r="E35" s="24" t="s">
        <v>31</v>
      </c>
      <c r="F35" s="24">
        <v>5</v>
      </c>
      <c r="G35" s="24">
        <v>229.6</v>
      </c>
      <c r="H35" s="24">
        <v>29.85</v>
      </c>
      <c r="I35" s="24">
        <v>259.45</v>
      </c>
      <c r="J35" s="24">
        <v>192.235871601107</v>
      </c>
      <c r="K35" s="24">
        <v>172.426116728319</v>
      </c>
      <c r="L35" s="24">
        <v>166.356691911213</v>
      </c>
      <c r="M35" s="24">
        <v>2.58323818742327</v>
      </c>
      <c r="N35" s="24">
        <v>3.48618662968356</v>
      </c>
      <c r="O35" s="24">
        <v>4713.46</v>
      </c>
      <c r="Q35" s="29"/>
      <c r="S35" s="29"/>
    </row>
    <row r="36" hidden="1" spans="1:14">
      <c r="A36" s="32" t="s">
        <v>27</v>
      </c>
      <c r="B36" s="32" t="s">
        <v>27</v>
      </c>
      <c r="C36" s="32" t="s">
        <v>19</v>
      </c>
      <c r="D36" s="32" t="s">
        <v>28</v>
      </c>
      <c r="E36" s="32" t="s">
        <v>29</v>
      </c>
      <c r="F36" s="32">
        <v>4320</v>
      </c>
      <c r="G36" s="32">
        <v>198375.74</v>
      </c>
      <c r="H36" s="32">
        <v>25789.06</v>
      </c>
      <c r="I36" s="32">
        <v>224164.8</v>
      </c>
      <c r="J36" s="32">
        <v>166130.182498961</v>
      </c>
      <c r="K36" s="32">
        <v>149010.587967125</v>
      </c>
      <c r="L36" s="32">
        <v>143765.489854181</v>
      </c>
      <c r="M36" s="32">
        <v>2232.39272300857</v>
      </c>
      <c r="N36" s="32">
        <v>3012.70538993472</v>
      </c>
    </row>
    <row r="37" hidden="1" spans="1:14">
      <c r="A37" s="32" t="s">
        <v>27</v>
      </c>
      <c r="B37" s="32" t="s">
        <v>27</v>
      </c>
      <c r="C37" s="32" t="s">
        <v>19</v>
      </c>
      <c r="D37" s="32" t="s">
        <v>30</v>
      </c>
      <c r="E37" s="32" t="s">
        <v>31</v>
      </c>
      <c r="F37" s="32">
        <v>2520</v>
      </c>
      <c r="G37" s="32">
        <v>115719.16</v>
      </c>
      <c r="H37" s="32">
        <v>15043.64</v>
      </c>
      <c r="I37" s="32">
        <v>130762.8</v>
      </c>
      <c r="J37" s="32">
        <v>96886.8792869579</v>
      </c>
      <c r="K37" s="32">
        <v>86902.7628310727</v>
      </c>
      <c r="L37" s="32">
        <v>83843.7727232512</v>
      </c>
      <c r="M37" s="32">
        <v>1301.95204646133</v>
      </c>
      <c r="N37" s="32">
        <v>1757.03806136051</v>
      </c>
    </row>
    <row r="38" hidden="1" spans="1:14">
      <c r="A38" s="32" t="s">
        <v>27</v>
      </c>
      <c r="B38" s="32" t="s">
        <v>27</v>
      </c>
      <c r="C38" s="32" t="s">
        <v>19</v>
      </c>
      <c r="D38" s="32" t="s">
        <v>37</v>
      </c>
      <c r="E38" s="32" t="s">
        <v>38</v>
      </c>
      <c r="F38" s="32">
        <v>1</v>
      </c>
      <c r="G38" s="32">
        <v>18.19</v>
      </c>
      <c r="H38" s="32">
        <v>2.37</v>
      </c>
      <c r="I38" s="32">
        <v>20.56</v>
      </c>
      <c r="J38" s="32">
        <v>14.7790674166729</v>
      </c>
      <c r="K38" s="32">
        <v>13.276555217818</v>
      </c>
      <c r="L38" s="32">
        <v>12.6176704640148</v>
      </c>
      <c r="M38" s="32">
        <v>0.280432037911275</v>
      </c>
      <c r="N38" s="32">
        <v>0.378452715892014</v>
      </c>
    </row>
    <row r="39" hidden="1" spans="1:14">
      <c r="A39" s="32" t="s">
        <v>27</v>
      </c>
      <c r="B39" s="32" t="s">
        <v>27</v>
      </c>
      <c r="C39" s="32" t="s">
        <v>19</v>
      </c>
      <c r="D39" s="32" t="s">
        <v>39</v>
      </c>
      <c r="E39" s="32" t="s">
        <v>40</v>
      </c>
      <c r="F39" s="32">
        <v>2988</v>
      </c>
      <c r="G39" s="32">
        <v>137210.02</v>
      </c>
      <c r="H39" s="32">
        <v>17837.3</v>
      </c>
      <c r="I39" s="32">
        <v>155047.32</v>
      </c>
      <c r="J39" s="32">
        <v>114733.879302119</v>
      </c>
      <c r="K39" s="32">
        <v>102910.245125631</v>
      </c>
      <c r="L39" s="32">
        <v>99291.5197891171</v>
      </c>
      <c r="M39" s="32">
        <v>1540.18936771903</v>
      </c>
      <c r="N39" s="32">
        <v>2078.53596879501</v>
      </c>
    </row>
    <row r="40" hidden="1" spans="1:14">
      <c r="A40" s="32" t="s">
        <v>27</v>
      </c>
      <c r="B40" s="32" t="s">
        <v>27</v>
      </c>
      <c r="C40" s="32" t="s">
        <v>19</v>
      </c>
      <c r="D40" s="32" t="s">
        <v>41</v>
      </c>
      <c r="E40" s="32" t="s">
        <v>42</v>
      </c>
      <c r="F40" s="32">
        <v>144</v>
      </c>
      <c r="G40" s="32">
        <v>573.45</v>
      </c>
      <c r="H40" s="32">
        <v>74.55</v>
      </c>
      <c r="I40" s="32">
        <v>648</v>
      </c>
      <c r="J40" s="32">
        <v>599.558540450019</v>
      </c>
      <c r="K40" s="32">
        <v>535.760214149139</v>
      </c>
      <c r="L40" s="32">
        <v>535.760214149139</v>
      </c>
      <c r="M40" s="32">
        <v>0</v>
      </c>
      <c r="N40" s="32">
        <v>0</v>
      </c>
    </row>
    <row r="41" hidden="1" spans="1:14">
      <c r="A41" s="32" t="s">
        <v>27</v>
      </c>
      <c r="B41" s="32" t="s">
        <v>27</v>
      </c>
      <c r="C41" s="32" t="s">
        <v>19</v>
      </c>
      <c r="D41" s="32" t="s">
        <v>24</v>
      </c>
      <c r="E41" s="32" t="s">
        <v>25</v>
      </c>
      <c r="F41" s="32">
        <v>648</v>
      </c>
      <c r="G41" s="32">
        <v>2580.65</v>
      </c>
      <c r="H41" s="32">
        <v>335.35</v>
      </c>
      <c r="I41" s="32">
        <v>2916</v>
      </c>
      <c r="J41" s="32">
        <v>2567.48733308683</v>
      </c>
      <c r="K41" s="32">
        <v>2294.28399496625</v>
      </c>
      <c r="L41" s="32">
        <v>2294.28399496625</v>
      </c>
      <c r="M41" s="32">
        <v>0</v>
      </c>
      <c r="N41" s="32">
        <v>0</v>
      </c>
    </row>
    <row r="42" hidden="1" spans="1:14">
      <c r="A42" s="32" t="s">
        <v>27</v>
      </c>
      <c r="B42" s="32" t="s">
        <v>43</v>
      </c>
      <c r="C42" s="32" t="s">
        <v>19</v>
      </c>
      <c r="D42" s="32" t="s">
        <v>22</v>
      </c>
      <c r="E42" s="32" t="s">
        <v>23</v>
      </c>
      <c r="F42" s="32">
        <v>77</v>
      </c>
      <c r="G42" s="32">
        <v>3384.61</v>
      </c>
      <c r="H42" s="32">
        <v>439.98</v>
      </c>
      <c r="I42" s="32">
        <v>3824.59</v>
      </c>
      <c r="J42" s="32">
        <v>2740.87463870328</v>
      </c>
      <c r="K42" s="32">
        <v>2459.39672339999</v>
      </c>
      <c r="L42" s="32">
        <v>2363.77154268804</v>
      </c>
      <c r="M42" s="32">
        <v>40.6994973441634</v>
      </c>
      <c r="N42" s="32">
        <v>54.9256833677794</v>
      </c>
    </row>
    <row r="43" hidden="1" spans="1:14">
      <c r="A43" s="32" t="s">
        <v>27</v>
      </c>
      <c r="B43" s="32" t="s">
        <v>43</v>
      </c>
      <c r="C43" s="32" t="s">
        <v>19</v>
      </c>
      <c r="D43" s="32" t="s">
        <v>32</v>
      </c>
      <c r="E43" s="32" t="s">
        <v>33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</row>
    <row r="44" hidden="1" spans="1:14">
      <c r="A44" s="32" t="s">
        <v>27</v>
      </c>
      <c r="B44" s="32" t="s">
        <v>43</v>
      </c>
      <c r="C44" s="32" t="s">
        <v>19</v>
      </c>
      <c r="D44" s="32" t="s">
        <v>34</v>
      </c>
      <c r="E44" s="32" t="s">
        <v>35</v>
      </c>
      <c r="F44" s="32">
        <v>110</v>
      </c>
      <c r="G44" s="32">
        <v>4856.53</v>
      </c>
      <c r="H44" s="32">
        <v>631.37</v>
      </c>
      <c r="I44" s="32">
        <v>5487.9</v>
      </c>
      <c r="J44" s="32">
        <v>4179.70528053521</v>
      </c>
      <c r="K44" s="32">
        <v>3749.13802857363</v>
      </c>
      <c r="L44" s="32">
        <v>3615.78142393</v>
      </c>
      <c r="M44" s="32">
        <v>56.7583026525947</v>
      </c>
      <c r="N44" s="32">
        <v>76.5983019910183</v>
      </c>
    </row>
    <row r="45" hidden="1" spans="1:14">
      <c r="A45" s="32" t="s">
        <v>27</v>
      </c>
      <c r="B45" s="32" t="s">
        <v>43</v>
      </c>
      <c r="C45" s="32" t="s">
        <v>19</v>
      </c>
      <c r="D45" s="32" t="s">
        <v>28</v>
      </c>
      <c r="E45" s="32" t="s">
        <v>29</v>
      </c>
      <c r="F45" s="32">
        <v>2946</v>
      </c>
      <c r="G45" s="32">
        <v>135281.24</v>
      </c>
      <c r="H45" s="32">
        <v>17586.7</v>
      </c>
      <c r="I45" s="32">
        <v>152867.94</v>
      </c>
      <c r="J45" s="32">
        <v>113291.555009708</v>
      </c>
      <c r="K45" s="32">
        <v>101616.942627581</v>
      </c>
      <c r="L45" s="32">
        <v>98040.0771088934</v>
      </c>
      <c r="M45" s="32">
        <v>1522.3678152739</v>
      </c>
      <c r="N45" s="32">
        <v>2054.49770341382</v>
      </c>
    </row>
    <row r="46" hidden="1" spans="1:14">
      <c r="A46" s="32" t="s">
        <v>27</v>
      </c>
      <c r="B46" s="32" t="s">
        <v>43</v>
      </c>
      <c r="C46" s="32" t="s">
        <v>19</v>
      </c>
      <c r="D46" s="32" t="s">
        <v>30</v>
      </c>
      <c r="E46" s="32" t="s">
        <v>31</v>
      </c>
      <c r="F46" s="32">
        <v>2372</v>
      </c>
      <c r="G46" s="32">
        <v>108922.96</v>
      </c>
      <c r="H46" s="32">
        <v>14160.12</v>
      </c>
      <c r="I46" s="32">
        <v>123083.08</v>
      </c>
      <c r="J46" s="32">
        <v>91196.6974875649</v>
      </c>
      <c r="K46" s="32">
        <v>81798.9497759148</v>
      </c>
      <c r="L46" s="32">
        <v>78919.6146426792</v>
      </c>
      <c r="M46" s="32">
        <v>1225.4881961136</v>
      </c>
      <c r="N46" s="32">
        <v>1653.84693712188</v>
      </c>
    </row>
    <row r="47" hidden="1" spans="1:15">
      <c r="A47" s="32" t="s">
        <v>27</v>
      </c>
      <c r="B47" s="32" t="s">
        <v>43</v>
      </c>
      <c r="C47" s="32" t="s">
        <v>26</v>
      </c>
      <c r="D47" s="32" t="s">
        <v>28</v>
      </c>
      <c r="E47" s="32" t="s">
        <v>29</v>
      </c>
      <c r="F47" s="32">
        <v>628</v>
      </c>
      <c r="G47" s="32">
        <v>28837.96</v>
      </c>
      <c r="H47" s="32">
        <v>3748.96</v>
      </c>
      <c r="I47" s="32">
        <v>32586.92</v>
      </c>
      <c r="J47" s="32">
        <v>24150.4061595712</v>
      </c>
      <c r="K47" s="32">
        <v>21661.7243618876</v>
      </c>
      <c r="L47" s="32">
        <v>20899.2425065801</v>
      </c>
      <c r="M47" s="32">
        <v>324.523756955874</v>
      </c>
      <c r="N47" s="32">
        <v>437.958098351622</v>
      </c>
      <c r="O47" s="24">
        <v>2360.49</v>
      </c>
    </row>
    <row r="48" hidden="1" spans="1:15">
      <c r="A48" s="32" t="s">
        <v>27</v>
      </c>
      <c r="B48" s="32" t="s">
        <v>43</v>
      </c>
      <c r="C48" s="32" t="s">
        <v>26</v>
      </c>
      <c r="D48" s="32" t="s">
        <v>30</v>
      </c>
      <c r="E48" s="32" t="s">
        <v>31</v>
      </c>
      <c r="F48" s="32">
        <v>972</v>
      </c>
      <c r="G48" s="32">
        <v>44634.53</v>
      </c>
      <c r="H48" s="32">
        <v>5802.55</v>
      </c>
      <c r="I48" s="32">
        <v>50437.08</v>
      </c>
      <c r="J48" s="32">
        <v>37370.6534392552</v>
      </c>
      <c r="K48" s="32">
        <v>33519.6370919852</v>
      </c>
      <c r="L48" s="32">
        <v>32339.7409075398</v>
      </c>
      <c r="M48" s="32">
        <v>502.181503635084</v>
      </c>
      <c r="N48" s="32">
        <v>677.714680810484</v>
      </c>
      <c r="O48" s="24">
        <v>3653.5</v>
      </c>
    </row>
    <row r="49" hidden="1" spans="1:14">
      <c r="A49" s="32" t="s">
        <v>27</v>
      </c>
      <c r="B49" s="35" t="s">
        <v>44</v>
      </c>
      <c r="C49" s="32" t="s">
        <v>19</v>
      </c>
      <c r="D49" s="32" t="s">
        <v>22</v>
      </c>
      <c r="E49" s="32" t="s">
        <v>23</v>
      </c>
      <c r="F49" s="35">
        <v>1491</v>
      </c>
      <c r="G49" s="35">
        <v>65538.39</v>
      </c>
      <c r="H49" s="35">
        <v>8519.58</v>
      </c>
      <c r="I49" s="35">
        <v>74057.97</v>
      </c>
      <c r="J49" s="35">
        <v>53073.2998221635</v>
      </c>
      <c r="K49" s="35">
        <v>47622.8638258361</v>
      </c>
      <c r="L49" s="35">
        <v>45771.212599323</v>
      </c>
      <c r="M49" s="35">
        <v>788.090266755165</v>
      </c>
      <c r="N49" s="35">
        <v>1063.56095975791</v>
      </c>
    </row>
    <row r="50" hidden="1" spans="1:14">
      <c r="A50" s="32" t="s">
        <v>27</v>
      </c>
      <c r="B50" s="35" t="s">
        <v>44</v>
      </c>
      <c r="C50" s="32" t="s">
        <v>19</v>
      </c>
      <c r="D50" s="32" t="s">
        <v>32</v>
      </c>
      <c r="E50" s="32" t="s">
        <v>33</v>
      </c>
      <c r="F50" s="35">
        <v>1088</v>
      </c>
      <c r="G50" s="35">
        <v>48035.38</v>
      </c>
      <c r="H50" s="35">
        <v>6244.94</v>
      </c>
      <c r="I50" s="35">
        <v>54280.32</v>
      </c>
      <c r="J50" s="35">
        <v>41219.4741209889</v>
      </c>
      <c r="K50" s="35">
        <v>36973.3033386554</v>
      </c>
      <c r="L50" s="35">
        <v>35658.1355587286</v>
      </c>
      <c r="M50" s="35">
        <v>559.755776085562</v>
      </c>
      <c r="N50" s="35">
        <v>755.412003841483</v>
      </c>
    </row>
    <row r="51" hidden="1" spans="1:14">
      <c r="A51" s="32" t="s">
        <v>27</v>
      </c>
      <c r="B51" s="35" t="s">
        <v>44</v>
      </c>
      <c r="C51" s="32" t="s">
        <v>19</v>
      </c>
      <c r="D51" s="32" t="s">
        <v>34</v>
      </c>
      <c r="E51" s="32" t="s">
        <v>35</v>
      </c>
      <c r="F51" s="35">
        <v>1906</v>
      </c>
      <c r="G51" s="35">
        <v>84150.42</v>
      </c>
      <c r="H51" s="35">
        <v>10939.92</v>
      </c>
      <c r="I51" s="35">
        <v>95090.34</v>
      </c>
      <c r="J51" s="35">
        <v>72422.8933154556</v>
      </c>
      <c r="K51" s="35">
        <v>64962.3371132849</v>
      </c>
      <c r="L51" s="35">
        <v>62651.6308546417</v>
      </c>
      <c r="M51" s="35">
        <v>983.466589598595</v>
      </c>
      <c r="N51" s="35">
        <v>1327.23966904437</v>
      </c>
    </row>
    <row r="52" hidden="1" spans="1:14">
      <c r="A52" s="32" t="s">
        <v>27</v>
      </c>
      <c r="B52" s="35" t="s">
        <v>44</v>
      </c>
      <c r="C52" s="32" t="s">
        <v>19</v>
      </c>
      <c r="D52" s="32" t="s">
        <v>28</v>
      </c>
      <c r="E52" s="32" t="s">
        <v>29</v>
      </c>
      <c r="F52" s="35">
        <v>2742</v>
      </c>
      <c r="G52" s="35">
        <v>125913.49</v>
      </c>
      <c r="H52" s="35">
        <v>16368.89</v>
      </c>
      <c r="I52" s="35">
        <v>142282.38</v>
      </c>
      <c r="J52" s="35">
        <v>105446.518613924</v>
      </c>
      <c r="K52" s="35">
        <v>94580.3315291332</v>
      </c>
      <c r="L52" s="35">
        <v>91251.1511991126</v>
      </c>
      <c r="M52" s="35">
        <v>1416.94927002072</v>
      </c>
      <c r="N52" s="35">
        <v>1912.23106000024</v>
      </c>
    </row>
    <row r="53" hidden="1" spans="1:14">
      <c r="A53" s="32" t="s">
        <v>27</v>
      </c>
      <c r="B53" s="35" t="s">
        <v>44</v>
      </c>
      <c r="C53" s="32" t="s">
        <v>19</v>
      </c>
      <c r="D53" s="32" t="s">
        <v>30</v>
      </c>
      <c r="E53" s="32" t="s">
        <v>31</v>
      </c>
      <c r="F53" s="35">
        <v>3100</v>
      </c>
      <c r="G53" s="35">
        <v>142352.95</v>
      </c>
      <c r="H53" s="35">
        <v>18506.05</v>
      </c>
      <c r="I53" s="35">
        <v>160859</v>
      </c>
      <c r="J53" s="35">
        <v>119186.240392686</v>
      </c>
      <c r="K53" s="35">
        <v>106904.192371558</v>
      </c>
      <c r="L53" s="35">
        <v>103141.148984952</v>
      </c>
      <c r="M53" s="35">
        <v>1601.60767620242</v>
      </c>
      <c r="N53" s="35">
        <v>2161.43571040381</v>
      </c>
    </row>
    <row r="54" hidden="1" spans="1:16">
      <c r="A54" s="32" t="s">
        <v>43</v>
      </c>
      <c r="B54" s="35" t="s">
        <v>44</v>
      </c>
      <c r="C54" s="32" t="s">
        <v>19</v>
      </c>
      <c r="D54" s="32" t="s">
        <v>45</v>
      </c>
      <c r="E54" s="32" t="s">
        <v>46</v>
      </c>
      <c r="F54" s="35">
        <v>48</v>
      </c>
      <c r="G54" s="32">
        <v>267.61</v>
      </c>
      <c r="H54" s="32">
        <v>34.79</v>
      </c>
      <c r="I54" s="32">
        <v>302.4</v>
      </c>
      <c r="J54" s="39">
        <v>302.4</v>
      </c>
      <c r="K54" s="39">
        <v>169.913905403779</v>
      </c>
      <c r="L54" s="39">
        <v>169.913905403779</v>
      </c>
      <c r="M54" s="39">
        <v>0</v>
      </c>
      <c r="N54" s="39">
        <v>0</v>
      </c>
      <c r="O54" s="24">
        <v>35.0818181818184</v>
      </c>
      <c r="P54" s="24">
        <v>33.09</v>
      </c>
    </row>
    <row r="55" hidden="1" spans="1:16">
      <c r="A55" s="32" t="s">
        <v>43</v>
      </c>
      <c r="B55" s="35" t="s">
        <v>44</v>
      </c>
      <c r="C55" s="32" t="s">
        <v>19</v>
      </c>
      <c r="D55" s="32" t="s">
        <v>47</v>
      </c>
      <c r="E55" s="32" t="s">
        <v>48</v>
      </c>
      <c r="F55" s="36">
        <v>480</v>
      </c>
      <c r="G55" s="32">
        <v>2676.1</v>
      </c>
      <c r="H55" s="32">
        <v>347.9</v>
      </c>
      <c r="I55" s="32">
        <v>3023.99999999998</v>
      </c>
      <c r="J55" s="39">
        <v>3024</v>
      </c>
      <c r="K55" s="39">
        <v>1704.63302180685</v>
      </c>
      <c r="L55" s="39">
        <v>1704.63302180685</v>
      </c>
      <c r="M55" s="39">
        <v>0</v>
      </c>
      <c r="N55" s="39">
        <v>0</v>
      </c>
      <c r="O55" s="24">
        <v>350.818181818182</v>
      </c>
      <c r="P55" s="24">
        <v>330.95</v>
      </c>
    </row>
    <row r="56" hidden="1" spans="1:15">
      <c r="A56" s="37" t="s">
        <v>18</v>
      </c>
      <c r="B56" s="24" t="s">
        <v>49</v>
      </c>
      <c r="C56" s="37" t="s">
        <v>50</v>
      </c>
      <c r="D56" s="37" t="s">
        <v>51</v>
      </c>
      <c r="E56" s="37" t="s">
        <v>52</v>
      </c>
      <c r="F56" s="37">
        <v>4583</v>
      </c>
      <c r="G56" s="38">
        <v>234179.13322619</v>
      </c>
      <c r="H56" s="38">
        <v>30443.2867738095</v>
      </c>
      <c r="I56" s="38">
        <v>264622.42</v>
      </c>
      <c r="J56" s="38">
        <v>220295.071125</v>
      </c>
      <c r="K56" s="38">
        <v>199064.138122619</v>
      </c>
      <c r="L56" s="38">
        <v>190093.341186905</v>
      </c>
      <c r="M56" s="38">
        <v>2902.10291071429</v>
      </c>
      <c r="N56" s="38">
        <v>6068.694025</v>
      </c>
      <c r="O56" s="24" t="s">
        <v>53</v>
      </c>
    </row>
    <row r="57" s="30" customFormat="1" hidden="1" spans="1:14">
      <c r="A57" s="37" t="s">
        <v>18</v>
      </c>
      <c r="B57" s="30" t="s">
        <v>49</v>
      </c>
      <c r="C57" s="37" t="s">
        <v>54</v>
      </c>
      <c r="D57" s="37" t="s">
        <v>55</v>
      </c>
      <c r="E57" s="37" t="s">
        <v>56</v>
      </c>
      <c r="F57" s="37">
        <v>1162</v>
      </c>
      <c r="G57" s="38">
        <v>44505.6234697509</v>
      </c>
      <c r="H57" s="38">
        <v>5785.73653024911</v>
      </c>
      <c r="I57" s="38">
        <v>50291.36</v>
      </c>
      <c r="J57" s="38">
        <v>42853.4093323479</v>
      </c>
      <c r="K57" s="38">
        <v>38773.2856636016</v>
      </c>
      <c r="L57" s="38">
        <v>36415.6690186474</v>
      </c>
      <c r="M57" s="38">
        <v>762.706208665622</v>
      </c>
      <c r="N57" s="38">
        <v>1594.91043628855</v>
      </c>
    </row>
    <row r="58" s="30" customFormat="1" hidden="1" spans="1:14">
      <c r="A58" s="37" t="s">
        <v>18</v>
      </c>
      <c r="B58" s="30" t="s">
        <v>49</v>
      </c>
      <c r="C58" s="37" t="s">
        <v>54</v>
      </c>
      <c r="D58" s="37" t="s">
        <v>57</v>
      </c>
      <c r="E58" s="37" t="s">
        <v>58</v>
      </c>
      <c r="F58" s="37">
        <v>1060</v>
      </c>
      <c r="G58" s="38">
        <v>16359.647740113</v>
      </c>
      <c r="H58" s="38">
        <v>2126.75225988701</v>
      </c>
      <c r="I58" s="38">
        <v>18486.4</v>
      </c>
      <c r="J58" s="38">
        <v>15766.6227670027</v>
      </c>
      <c r="K58" s="38">
        <v>14289.9840668172</v>
      </c>
      <c r="L58" s="38">
        <v>13121.4118173777</v>
      </c>
      <c r="M58" s="38">
        <v>378.044833364932</v>
      </c>
      <c r="N58" s="38">
        <v>790.52741607468</v>
      </c>
    </row>
    <row r="59" s="30" customFormat="1" hidden="1" spans="1:14">
      <c r="A59" s="37" t="s">
        <v>18</v>
      </c>
      <c r="B59" s="30" t="s">
        <v>49</v>
      </c>
      <c r="C59" s="37" t="s">
        <v>59</v>
      </c>
      <c r="D59" s="37" t="s">
        <v>60</v>
      </c>
      <c r="E59" s="37" t="s">
        <v>61</v>
      </c>
      <c r="F59" s="37">
        <v>1148</v>
      </c>
      <c r="G59" s="38">
        <v>47179.7488131313</v>
      </c>
      <c r="H59" s="38">
        <v>6133.37118686869</v>
      </c>
      <c r="I59" s="38">
        <v>53313.12</v>
      </c>
      <c r="J59" s="38">
        <v>47659.5613464858</v>
      </c>
      <c r="K59" s="38">
        <v>43089.1559776869</v>
      </c>
      <c r="L59" s="38">
        <v>40868.5341068648</v>
      </c>
      <c r="M59" s="38">
        <v>718.388110873064</v>
      </c>
      <c r="N59" s="38">
        <v>1502.23375994911</v>
      </c>
    </row>
    <row r="60" s="30" customFormat="1" hidden="1" spans="1:14">
      <c r="A60" s="37" t="s">
        <v>27</v>
      </c>
      <c r="B60" s="30" t="s">
        <v>49</v>
      </c>
      <c r="C60" s="37" t="s">
        <v>50</v>
      </c>
      <c r="D60" s="37" t="s">
        <v>51</v>
      </c>
      <c r="E60" s="37" t="s">
        <v>52</v>
      </c>
      <c r="F60" s="37">
        <v>10790</v>
      </c>
      <c r="G60" s="38">
        <v>551340.367712418</v>
      </c>
      <c r="H60" s="38">
        <v>71674.2322875817</v>
      </c>
      <c r="I60" s="38">
        <v>623014.6</v>
      </c>
      <c r="J60" s="38">
        <v>536267.756400043</v>
      </c>
      <c r="K60" s="38">
        <v>480594.645684122</v>
      </c>
      <c r="L60" s="38">
        <v>467526.962679892</v>
      </c>
      <c r="M60" s="38">
        <v>5561.79731169495</v>
      </c>
      <c r="N60" s="38">
        <v>7505.88569253387</v>
      </c>
    </row>
    <row r="61" s="30" customFormat="1" hidden="1" spans="1:14">
      <c r="A61" s="37" t="s">
        <v>27</v>
      </c>
      <c r="B61" s="30" t="s">
        <v>49</v>
      </c>
      <c r="C61" s="37" t="s">
        <v>50</v>
      </c>
      <c r="D61" s="37" t="s">
        <v>51</v>
      </c>
      <c r="E61" s="37" t="s">
        <v>52</v>
      </c>
      <c r="F61" s="37">
        <v>1</v>
      </c>
      <c r="G61" s="38">
        <v>51.1</v>
      </c>
      <c r="H61" s="38">
        <v>6.64</v>
      </c>
      <c r="I61" s="38">
        <v>57.74</v>
      </c>
      <c r="J61" s="38">
        <v>49.7058628284195</v>
      </c>
      <c r="K61" s="38">
        <v>44.545629854728</v>
      </c>
      <c r="L61" s="38">
        <v>43.3341700847453</v>
      </c>
      <c r="M61" s="38">
        <v>0.515648443221456</v>
      </c>
      <c r="N61" s="38">
        <v>0.695811326761179</v>
      </c>
    </row>
    <row r="62" s="30" customFormat="1" hidden="1" spans="1:14">
      <c r="A62" s="37" t="s">
        <v>27</v>
      </c>
      <c r="B62" s="30" t="s">
        <v>49</v>
      </c>
      <c r="C62" s="37" t="s">
        <v>59</v>
      </c>
      <c r="D62" s="37" t="s">
        <v>60</v>
      </c>
      <c r="E62" s="37" t="s">
        <v>61</v>
      </c>
      <c r="F62" s="37">
        <v>770</v>
      </c>
      <c r="G62" s="38">
        <v>31644.9513761468</v>
      </c>
      <c r="H62" s="38">
        <v>4113.84862385321</v>
      </c>
      <c r="I62" s="38">
        <v>35758.8</v>
      </c>
      <c r="J62" s="38">
        <v>30421.8611238532</v>
      </c>
      <c r="K62" s="38">
        <v>27281.042603211</v>
      </c>
      <c r="L62" s="38">
        <v>26375.7098050459</v>
      </c>
      <c r="M62" s="38">
        <v>385.322305045872</v>
      </c>
      <c r="N62" s="38">
        <v>520.006077981651</v>
      </c>
    </row>
    <row r="63" s="30" customFormat="1" hidden="1" spans="1:14">
      <c r="A63" s="37" t="s">
        <v>27</v>
      </c>
      <c r="B63" s="30" t="s">
        <v>49</v>
      </c>
      <c r="C63" s="37" t="s">
        <v>54</v>
      </c>
      <c r="D63" s="37" t="s">
        <v>55</v>
      </c>
      <c r="E63" s="37" t="s">
        <v>56</v>
      </c>
      <c r="F63" s="37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</row>
    <row r="64" s="30" customFormat="1" hidden="1" spans="1:14">
      <c r="A64" s="37" t="s">
        <v>27</v>
      </c>
      <c r="B64" s="30" t="s">
        <v>49</v>
      </c>
      <c r="C64" s="37" t="s">
        <v>54</v>
      </c>
      <c r="D64" s="37" t="s">
        <v>57</v>
      </c>
      <c r="E64" s="37" t="s">
        <v>58</v>
      </c>
      <c r="F64" s="37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</row>
    <row r="65" s="30" customFormat="1" hidden="1" spans="1:14">
      <c r="A65" s="37" t="s">
        <v>43</v>
      </c>
      <c r="B65" s="30" t="s">
        <v>49</v>
      </c>
      <c r="C65" s="40" t="s">
        <v>54</v>
      </c>
      <c r="D65" s="40" t="s">
        <v>62</v>
      </c>
      <c r="E65" s="37" t="s">
        <v>63</v>
      </c>
      <c r="F65" s="37">
        <v>695</v>
      </c>
      <c r="G65" s="38">
        <v>3690.2703392873</v>
      </c>
      <c r="H65" s="38">
        <v>479.729660712684</v>
      </c>
      <c r="I65" s="38">
        <v>4169.99999999997</v>
      </c>
      <c r="J65" s="38">
        <v>4170</v>
      </c>
      <c r="K65" s="38">
        <v>4103.75208137383</v>
      </c>
      <c r="L65" s="38">
        <v>1962.44475015689</v>
      </c>
      <c r="M65" s="38">
        <v>465.516723227358</v>
      </c>
      <c r="N65" s="38">
        <v>1675.79060798958</v>
      </c>
    </row>
    <row r="66" s="30" customFormat="1" hidden="1" spans="1:14">
      <c r="A66" s="37" t="s">
        <v>43</v>
      </c>
      <c r="B66" s="30" t="s">
        <v>49</v>
      </c>
      <c r="C66" s="40" t="s">
        <v>54</v>
      </c>
      <c r="D66" s="40" t="s">
        <v>64</v>
      </c>
      <c r="E66" s="37" t="s">
        <v>65</v>
      </c>
      <c r="F66" s="37">
        <v>2120</v>
      </c>
      <c r="G66" s="38">
        <v>16134.5126744185</v>
      </c>
      <c r="H66" s="38">
        <v>2097.4873255814</v>
      </c>
      <c r="I66" s="38">
        <v>18232</v>
      </c>
      <c r="J66" s="38">
        <v>18232</v>
      </c>
      <c r="K66" s="38">
        <v>17734.2564269167</v>
      </c>
      <c r="L66" s="38">
        <v>7631.97013400081</v>
      </c>
      <c r="M66" s="38">
        <v>2196.22270245142</v>
      </c>
      <c r="N66" s="38">
        <v>7906.06359046443</v>
      </c>
    </row>
    <row r="67" s="30" customFormat="1" hidden="1" spans="1:14">
      <c r="A67" s="37" t="s">
        <v>43</v>
      </c>
      <c r="B67" s="30" t="s">
        <v>49</v>
      </c>
      <c r="C67" s="41" t="s">
        <v>54</v>
      </c>
      <c r="D67" s="40" t="s">
        <v>66</v>
      </c>
      <c r="E67" s="37" t="s">
        <v>67</v>
      </c>
      <c r="F67" s="37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</row>
    <row r="68" s="30" customFormat="1" hidden="1" spans="1:14">
      <c r="A68" s="37" t="s">
        <v>43</v>
      </c>
      <c r="B68" s="30" t="s">
        <v>49</v>
      </c>
      <c r="C68" s="37" t="s">
        <v>59</v>
      </c>
      <c r="D68" s="40" t="s">
        <v>62</v>
      </c>
      <c r="E68" s="37" t="s">
        <v>63</v>
      </c>
      <c r="F68" s="37">
        <v>3581</v>
      </c>
      <c r="G68" s="38">
        <v>19014.1842949465</v>
      </c>
      <c r="H68" s="38">
        <v>2471.81570505341</v>
      </c>
      <c r="I68" s="38">
        <v>21485.9999999999</v>
      </c>
      <c r="J68" s="38">
        <v>21486</v>
      </c>
      <c r="K68" s="38">
        <v>21144.6564077693</v>
      </c>
      <c r="L68" s="38">
        <v>10111.5318709523</v>
      </c>
      <c r="M68" s="38">
        <v>2398.5832890319</v>
      </c>
      <c r="N68" s="38">
        <v>8634.54124778514</v>
      </c>
    </row>
    <row r="69" s="30" customFormat="1" hidden="1" spans="1:14">
      <c r="A69" s="37" t="s">
        <v>43</v>
      </c>
      <c r="B69" s="30" t="s">
        <v>49</v>
      </c>
      <c r="C69" s="37" t="s">
        <v>59</v>
      </c>
      <c r="D69" s="40" t="s">
        <v>68</v>
      </c>
      <c r="E69" s="37" t="s">
        <v>69</v>
      </c>
      <c r="F69" s="37">
        <v>2486</v>
      </c>
      <c r="G69" s="38">
        <v>13639.9946029106</v>
      </c>
      <c r="H69" s="38">
        <v>1773.20539708939</v>
      </c>
      <c r="I69" s="38">
        <v>15413.2</v>
      </c>
      <c r="J69" s="38">
        <v>15413.2</v>
      </c>
      <c r="K69" s="38">
        <v>15112.0705956652</v>
      </c>
      <c r="L69" s="38">
        <v>7471.85792395365</v>
      </c>
      <c r="M69" s="38">
        <v>1660.96970539961</v>
      </c>
      <c r="N69" s="38">
        <v>5979.24296631195</v>
      </c>
    </row>
    <row r="70" s="30" customFormat="1" hidden="1" spans="1:14">
      <c r="A70" s="37" t="s">
        <v>18</v>
      </c>
      <c r="B70" s="30" t="s">
        <v>70</v>
      </c>
      <c r="C70" s="37" t="s">
        <v>50</v>
      </c>
      <c r="D70" s="37" t="s">
        <v>51</v>
      </c>
      <c r="E70" s="37" t="s">
        <v>52</v>
      </c>
      <c r="F70" s="37">
        <v>0</v>
      </c>
      <c r="G70" s="42">
        <v>0</v>
      </c>
      <c r="H70" s="42">
        <v>0</v>
      </c>
      <c r="I70" s="42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</row>
    <row r="71" s="30" customFormat="1" hidden="1" spans="1:14">
      <c r="A71" s="37" t="s">
        <v>18</v>
      </c>
      <c r="B71" s="30" t="s">
        <v>70</v>
      </c>
      <c r="C71" s="37" t="s">
        <v>54</v>
      </c>
      <c r="D71" s="37" t="s">
        <v>55</v>
      </c>
      <c r="E71" s="37" t="s">
        <v>56</v>
      </c>
      <c r="F71" s="37">
        <v>549</v>
      </c>
      <c r="G71" s="42">
        <v>21027.1835498221</v>
      </c>
      <c r="H71" s="42">
        <v>2733.53645017794</v>
      </c>
      <c r="I71" s="42">
        <v>23760.72</v>
      </c>
      <c r="J71" s="45">
        <v>20246.5763540955</v>
      </c>
      <c r="K71" s="45">
        <v>18318.8759288445</v>
      </c>
      <c r="L71" s="45">
        <v>17204.993365953</v>
      </c>
      <c r="M71" s="45">
        <v>360.349146779197</v>
      </c>
      <c r="N71" s="45">
        <v>753.53341611223</v>
      </c>
    </row>
    <row r="72" s="30" customFormat="1" hidden="1" spans="1:14">
      <c r="A72" s="37" t="s">
        <v>18</v>
      </c>
      <c r="B72" s="30" t="s">
        <v>70</v>
      </c>
      <c r="C72" s="37" t="s">
        <v>54</v>
      </c>
      <c r="D72" s="37" t="s">
        <v>57</v>
      </c>
      <c r="E72" s="37" t="s">
        <v>58</v>
      </c>
      <c r="F72" s="37">
        <v>1162</v>
      </c>
      <c r="G72" s="42">
        <v>17933.8779943503</v>
      </c>
      <c r="H72" s="42">
        <v>2331.40200564972</v>
      </c>
      <c r="I72" s="42">
        <v>20265.28</v>
      </c>
      <c r="J72" s="45">
        <v>17283.7883540161</v>
      </c>
      <c r="K72" s="45">
        <v>15665.0580053223</v>
      </c>
      <c r="L72" s="45">
        <v>14384.0382375405</v>
      </c>
      <c r="M72" s="45">
        <v>414.422732424576</v>
      </c>
      <c r="N72" s="45">
        <v>866.597035357338</v>
      </c>
    </row>
    <row r="73" s="30" customFormat="1" hidden="1" spans="1:14">
      <c r="A73" s="37" t="s">
        <v>18</v>
      </c>
      <c r="B73" s="30" t="s">
        <v>70</v>
      </c>
      <c r="C73" s="37" t="s">
        <v>59</v>
      </c>
      <c r="D73" s="37" t="s">
        <v>60</v>
      </c>
      <c r="E73" s="37" t="s">
        <v>61</v>
      </c>
      <c r="F73" s="37">
        <v>0</v>
      </c>
      <c r="G73" s="42">
        <v>0</v>
      </c>
      <c r="H73" s="42">
        <v>0</v>
      </c>
      <c r="I73" s="42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</row>
    <row r="74" s="30" customFormat="1" hidden="1" spans="1:14">
      <c r="A74" s="37" t="s">
        <v>27</v>
      </c>
      <c r="B74" s="30" t="s">
        <v>70</v>
      </c>
      <c r="C74" s="37" t="s">
        <v>50</v>
      </c>
      <c r="D74" s="37" t="s">
        <v>51</v>
      </c>
      <c r="E74" s="37" t="s">
        <v>52</v>
      </c>
      <c r="F74" s="37">
        <v>1450</v>
      </c>
      <c r="G74" s="42">
        <v>74091.1522875817</v>
      </c>
      <c r="H74" s="42">
        <v>9631.8477124183</v>
      </c>
      <c r="I74" s="42">
        <v>83723</v>
      </c>
      <c r="J74" s="45">
        <v>72065.6391825819</v>
      </c>
      <c r="K74" s="45">
        <v>64584.081208709</v>
      </c>
      <c r="L74" s="45">
        <v>62827.997765138</v>
      </c>
      <c r="M74" s="45">
        <v>747.41483799423</v>
      </c>
      <c r="N74" s="45">
        <v>1008.66860557684</v>
      </c>
    </row>
    <row r="75" s="30" customFormat="1" hidden="1" spans="1:14">
      <c r="A75" s="37" t="s">
        <v>27</v>
      </c>
      <c r="B75" s="30" t="s">
        <v>70</v>
      </c>
      <c r="C75" s="37" t="s">
        <v>50</v>
      </c>
      <c r="D75" s="37" t="s">
        <v>51</v>
      </c>
      <c r="E75" s="37" t="s">
        <v>52</v>
      </c>
      <c r="F75" s="37">
        <v>0</v>
      </c>
      <c r="G75" s="42">
        <v>0</v>
      </c>
      <c r="H75" s="42">
        <v>0</v>
      </c>
      <c r="I75" s="42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</row>
    <row r="76" s="30" customFormat="1" hidden="1" spans="1:14">
      <c r="A76" s="37" t="s">
        <v>27</v>
      </c>
      <c r="B76" s="30" t="s">
        <v>70</v>
      </c>
      <c r="C76" s="37" t="s">
        <v>59</v>
      </c>
      <c r="D76" s="37" t="s">
        <v>60</v>
      </c>
      <c r="E76" s="37" t="s">
        <v>61</v>
      </c>
      <c r="F76" s="37">
        <v>974</v>
      </c>
      <c r="G76" s="42">
        <v>40028.8086238532</v>
      </c>
      <c r="H76" s="42">
        <v>5203.75137614679</v>
      </c>
      <c r="I76" s="42">
        <v>45232.56</v>
      </c>
      <c r="J76" s="45">
        <v>38481.6788761468</v>
      </c>
      <c r="K76" s="45">
        <v>34508.747396789</v>
      </c>
      <c r="L76" s="45">
        <v>33363.5601949541</v>
      </c>
      <c r="M76" s="45">
        <v>487.407694954128</v>
      </c>
      <c r="N76" s="45">
        <v>657.773922018349</v>
      </c>
    </row>
    <row r="77" s="30" customFormat="1" hidden="1" spans="1:14">
      <c r="A77" s="37" t="s">
        <v>27</v>
      </c>
      <c r="B77" s="30" t="s">
        <v>70</v>
      </c>
      <c r="C77" s="37" t="s">
        <v>54</v>
      </c>
      <c r="D77" s="37" t="s">
        <v>55</v>
      </c>
      <c r="E77" s="37" t="s">
        <v>56</v>
      </c>
      <c r="F77" s="37">
        <v>56</v>
      </c>
      <c r="G77" s="42">
        <v>2144.85</v>
      </c>
      <c r="H77" s="42">
        <v>278.83</v>
      </c>
      <c r="I77" s="42">
        <v>2423.68</v>
      </c>
      <c r="J77" s="45">
        <v>1946.79</v>
      </c>
      <c r="K77" s="45">
        <v>1746.82</v>
      </c>
      <c r="L77" s="45">
        <v>1679.26</v>
      </c>
      <c r="M77" s="45">
        <v>28.76</v>
      </c>
      <c r="N77" s="45">
        <v>38.81</v>
      </c>
    </row>
    <row r="78" s="30" customFormat="1" hidden="1" spans="1:14">
      <c r="A78" s="37" t="s">
        <v>27</v>
      </c>
      <c r="B78" s="30" t="s">
        <v>70</v>
      </c>
      <c r="C78" s="37" t="s">
        <v>54</v>
      </c>
      <c r="D78" s="37" t="s">
        <v>57</v>
      </c>
      <c r="E78" s="37" t="s">
        <v>58</v>
      </c>
      <c r="F78" s="37">
        <v>60</v>
      </c>
      <c r="G78" s="42">
        <v>926.02</v>
      </c>
      <c r="H78" s="42">
        <v>120.38</v>
      </c>
      <c r="I78" s="42">
        <v>1046.4</v>
      </c>
      <c r="J78" s="45">
        <v>807.02</v>
      </c>
      <c r="K78" s="45">
        <v>725.24</v>
      </c>
      <c r="L78" s="45">
        <v>686.72</v>
      </c>
      <c r="M78" s="45">
        <v>16.39</v>
      </c>
      <c r="N78" s="45">
        <v>22.13</v>
      </c>
    </row>
    <row r="79" s="30" customFormat="1" hidden="1" spans="1:14">
      <c r="A79" s="37" t="s">
        <v>43</v>
      </c>
      <c r="B79" s="30" t="s">
        <v>70</v>
      </c>
      <c r="C79" s="40" t="s">
        <v>54</v>
      </c>
      <c r="D79" s="40" t="s">
        <v>62</v>
      </c>
      <c r="E79" s="37" t="s">
        <v>63</v>
      </c>
      <c r="F79" s="37">
        <v>1841</v>
      </c>
      <c r="G79" s="42">
        <v>9775.2340929898</v>
      </c>
      <c r="H79" s="42">
        <v>1270.76590701015</v>
      </c>
      <c r="I79" s="42">
        <v>11045.9999999999</v>
      </c>
      <c r="J79" s="45">
        <v>11046</v>
      </c>
      <c r="K79" s="45">
        <v>10870.5145062003</v>
      </c>
      <c r="L79" s="45">
        <v>5198.3608417825</v>
      </c>
      <c r="M79" s="45">
        <v>1233.11696037635</v>
      </c>
      <c r="N79" s="45">
        <v>4439.03670404145</v>
      </c>
    </row>
    <row r="80" s="30" customFormat="1" hidden="1" spans="1:14">
      <c r="A80" s="37" t="s">
        <v>43</v>
      </c>
      <c r="B80" s="30" t="s">
        <v>70</v>
      </c>
      <c r="C80" s="40" t="s">
        <v>54</v>
      </c>
      <c r="D80" s="40" t="s">
        <v>64</v>
      </c>
      <c r="E80" s="37" t="s">
        <v>65</v>
      </c>
      <c r="F80" s="37">
        <v>1320</v>
      </c>
      <c r="G80" s="42">
        <v>10046.0173255814</v>
      </c>
      <c r="H80" s="42">
        <v>1305.9826744186</v>
      </c>
      <c r="I80" s="42">
        <v>11352</v>
      </c>
      <c r="J80" s="45">
        <v>11352</v>
      </c>
      <c r="K80" s="45">
        <v>11042.0841903444</v>
      </c>
      <c r="L80" s="45">
        <v>4751.98140418919</v>
      </c>
      <c r="M80" s="45">
        <v>1367.45941850749</v>
      </c>
      <c r="N80" s="45">
        <v>4922.64336764767</v>
      </c>
    </row>
    <row r="81" s="30" customFormat="1" hidden="1" spans="1:14">
      <c r="A81" s="37" t="s">
        <v>43</v>
      </c>
      <c r="B81" s="30" t="s">
        <v>70</v>
      </c>
      <c r="C81" s="41" t="s">
        <v>54</v>
      </c>
      <c r="D81" s="40" t="s">
        <v>66</v>
      </c>
      <c r="E81" s="37" t="s">
        <v>67</v>
      </c>
      <c r="F81" s="37">
        <v>4512</v>
      </c>
      <c r="G81" s="42">
        <v>35137.6997310999</v>
      </c>
      <c r="H81" s="42">
        <v>4567.90026890016</v>
      </c>
      <c r="I81" s="42">
        <v>39705.6000000001</v>
      </c>
      <c r="J81" s="45">
        <v>39705.6</v>
      </c>
      <c r="K81" s="45">
        <v>51006.0480262582</v>
      </c>
      <c r="L81" s="45">
        <v>30027.4543568928</v>
      </c>
      <c r="M81" s="45">
        <v>13697.7515429289</v>
      </c>
      <c r="N81" s="45">
        <v>7280.84212643647</v>
      </c>
    </row>
    <row r="82" s="30" customFormat="1" hidden="1" spans="1:14">
      <c r="A82" s="37" t="s">
        <v>43</v>
      </c>
      <c r="B82" s="30" t="s">
        <v>70</v>
      </c>
      <c r="C82" s="37" t="s">
        <v>59</v>
      </c>
      <c r="D82" s="40" t="s">
        <v>62</v>
      </c>
      <c r="E82" s="37" t="s">
        <v>63</v>
      </c>
      <c r="F82" s="37">
        <v>2503</v>
      </c>
      <c r="G82" s="42">
        <v>13290.2829629296</v>
      </c>
      <c r="H82" s="42">
        <v>1727.71703707028</v>
      </c>
      <c r="I82" s="42">
        <v>15017.9999999999</v>
      </c>
      <c r="J82" s="45">
        <v>15018</v>
      </c>
      <c r="K82" s="45">
        <v>14779.4121721996</v>
      </c>
      <c r="L82" s="45">
        <v>7067.62476207582</v>
      </c>
      <c r="M82" s="45">
        <v>1676.53001185335</v>
      </c>
      <c r="N82" s="45">
        <v>6035.25739827037</v>
      </c>
    </row>
    <row r="83" hidden="1" spans="1:14">
      <c r="A83" s="37" t="s">
        <v>43</v>
      </c>
      <c r="B83" s="24" t="s">
        <v>70</v>
      </c>
      <c r="C83" s="37" t="s">
        <v>59</v>
      </c>
      <c r="D83" s="43" t="s">
        <v>68</v>
      </c>
      <c r="E83" t="s">
        <v>69</v>
      </c>
      <c r="F83" s="37">
        <v>2174</v>
      </c>
      <c r="G83" s="44">
        <v>11928.1368731809</v>
      </c>
      <c r="H83" s="44">
        <v>1550.66312681912</v>
      </c>
      <c r="I83" s="44">
        <v>13478.8</v>
      </c>
      <c r="J83" s="46">
        <v>13478.8</v>
      </c>
      <c r="K83" s="46">
        <v>13215.4631838199</v>
      </c>
      <c r="L83" s="46">
        <v>6534.11871547677</v>
      </c>
      <c r="M83" s="46">
        <v>1452.51333046611</v>
      </c>
      <c r="N83" s="46">
        <v>5228.83113787698</v>
      </c>
    </row>
    <row r="84" spans="1:14">
      <c r="A84" s="32" t="s">
        <v>44</v>
      </c>
      <c r="B84" s="32" t="s">
        <v>44</v>
      </c>
      <c r="C84" s="32" t="s">
        <v>19</v>
      </c>
      <c r="D84" s="32" t="s">
        <v>45</v>
      </c>
      <c r="E84" s="32" t="s">
        <v>46</v>
      </c>
      <c r="F84" s="32">
        <v>242</v>
      </c>
      <c r="G84" s="32">
        <v>1349.2</v>
      </c>
      <c r="H84" s="32">
        <v>175.4</v>
      </c>
      <c r="I84" s="32">
        <v>1524.6</v>
      </c>
      <c r="J84" s="32"/>
      <c r="K84" s="32"/>
      <c r="L84" s="32"/>
      <c r="M84" s="32"/>
      <c r="N84" s="32"/>
    </row>
    <row r="85" spans="1:14">
      <c r="A85" s="32" t="s">
        <v>44</v>
      </c>
      <c r="B85" s="32" t="s">
        <v>44</v>
      </c>
      <c r="C85" s="32" t="s">
        <v>19</v>
      </c>
      <c r="D85" s="32" t="s">
        <v>47</v>
      </c>
      <c r="E85" s="32" t="s">
        <v>48</v>
      </c>
      <c r="F85" s="32">
        <v>230</v>
      </c>
      <c r="G85" s="32">
        <v>1282.31</v>
      </c>
      <c r="H85" s="32">
        <v>166.68999999999</v>
      </c>
      <c r="I85" s="32">
        <v>1448.99999999999</v>
      </c>
      <c r="J85" s="32"/>
      <c r="K85" s="32"/>
      <c r="L85" s="32"/>
      <c r="M85" s="32"/>
      <c r="N85" s="32"/>
    </row>
    <row r="86" spans="1:14">
      <c r="A86" s="32" t="s">
        <v>44</v>
      </c>
      <c r="B86" s="32" t="s">
        <v>44</v>
      </c>
      <c r="C86" s="32" t="s">
        <v>19</v>
      </c>
      <c r="D86" s="32" t="s">
        <v>62</v>
      </c>
      <c r="E86" s="32" t="s">
        <v>63</v>
      </c>
      <c r="F86" s="32">
        <v>125</v>
      </c>
      <c r="G86" s="32">
        <v>663.72</v>
      </c>
      <c r="H86" s="32">
        <v>86.28</v>
      </c>
      <c r="I86" s="32">
        <v>750</v>
      </c>
      <c r="J86" s="32"/>
      <c r="K86" s="32"/>
      <c r="L86" s="32"/>
      <c r="M86" s="32"/>
      <c r="N86" s="32"/>
    </row>
    <row r="87" spans="1:14">
      <c r="A87" s="32" t="s">
        <v>44</v>
      </c>
      <c r="B87" s="32" t="s">
        <v>44</v>
      </c>
      <c r="C87" s="32" t="s">
        <v>19</v>
      </c>
      <c r="D87" s="32" t="s">
        <v>71</v>
      </c>
      <c r="E87" s="32" t="s">
        <v>72</v>
      </c>
      <c r="F87" s="32">
        <v>370</v>
      </c>
      <c r="G87" s="32">
        <v>5893.91</v>
      </c>
      <c r="H87" s="32">
        <v>766.09</v>
      </c>
      <c r="I87" s="32">
        <v>6660</v>
      </c>
      <c r="J87" s="32"/>
      <c r="K87" s="32"/>
      <c r="L87" s="32"/>
      <c r="M87" s="32"/>
      <c r="N87" s="32"/>
    </row>
    <row r="88" spans="1:14">
      <c r="A88" s="32" t="s">
        <v>44</v>
      </c>
      <c r="B88" s="32" t="s">
        <v>44</v>
      </c>
      <c r="C88" s="32" t="s">
        <v>19</v>
      </c>
      <c r="D88" s="32" t="s">
        <v>64</v>
      </c>
      <c r="E88" s="32" t="s">
        <v>65</v>
      </c>
      <c r="F88" s="32">
        <v>75</v>
      </c>
      <c r="G88" s="32">
        <v>570.8</v>
      </c>
      <c r="H88" s="32">
        <v>74.2</v>
      </c>
      <c r="I88" s="32">
        <v>645</v>
      </c>
      <c r="J88" s="32"/>
      <c r="K88" s="32"/>
      <c r="L88" s="32"/>
      <c r="M88" s="32"/>
      <c r="N88" s="32"/>
    </row>
    <row r="89" spans="1:14">
      <c r="A89" s="32" t="s">
        <v>44</v>
      </c>
      <c r="B89" s="32" t="s">
        <v>44</v>
      </c>
      <c r="C89" s="32" t="s">
        <v>19</v>
      </c>
      <c r="D89" s="32" t="s">
        <v>73</v>
      </c>
      <c r="E89" s="32" t="s">
        <v>74</v>
      </c>
      <c r="F89" s="32">
        <v>10</v>
      </c>
      <c r="G89" s="32">
        <v>1582.3</v>
      </c>
      <c r="H89" s="32">
        <v>205.7</v>
      </c>
      <c r="I89" s="32">
        <v>1788</v>
      </c>
      <c r="J89" s="32"/>
      <c r="K89" s="32"/>
      <c r="L89" s="32"/>
      <c r="M89" s="32"/>
      <c r="N89" s="32"/>
    </row>
    <row r="90" spans="1:14">
      <c r="A90" s="32" t="s">
        <v>44</v>
      </c>
      <c r="B90" s="32" t="s">
        <v>44</v>
      </c>
      <c r="C90" s="32" t="s">
        <v>19</v>
      </c>
      <c r="D90" s="32" t="s">
        <v>75</v>
      </c>
      <c r="E90" s="32" t="s">
        <v>76</v>
      </c>
      <c r="F90" s="32">
        <v>0</v>
      </c>
      <c r="G90" s="32">
        <v>0</v>
      </c>
      <c r="H90" s="32">
        <v>0</v>
      </c>
      <c r="I90" s="32">
        <v>0</v>
      </c>
      <c r="J90" s="32"/>
      <c r="K90" s="32"/>
      <c r="L90" s="32"/>
      <c r="M90" s="32"/>
      <c r="N90" s="32"/>
    </row>
    <row r="91" spans="1:14">
      <c r="A91" s="32" t="s">
        <v>44</v>
      </c>
      <c r="B91" s="32" t="s">
        <v>44</v>
      </c>
      <c r="C91" s="32" t="s">
        <v>19</v>
      </c>
      <c r="D91" s="32" t="s">
        <v>77</v>
      </c>
      <c r="E91" s="32" t="s">
        <v>78</v>
      </c>
      <c r="F91" s="32">
        <v>48</v>
      </c>
      <c r="G91" s="32">
        <v>7187.26</v>
      </c>
      <c r="H91" s="32">
        <v>934.34</v>
      </c>
      <c r="I91" s="32">
        <v>8121.6</v>
      </c>
      <c r="J91" s="32"/>
      <c r="K91" s="32"/>
      <c r="L91" s="32"/>
      <c r="M91" s="32"/>
      <c r="N91" s="32"/>
    </row>
    <row r="92" spans="1:14">
      <c r="A92" s="32" t="s">
        <v>44</v>
      </c>
      <c r="B92" s="32" t="s">
        <v>44</v>
      </c>
      <c r="C92" s="32" t="s">
        <v>19</v>
      </c>
      <c r="D92" s="32" t="s">
        <v>79</v>
      </c>
      <c r="E92" s="32" t="s">
        <v>80</v>
      </c>
      <c r="F92" s="32">
        <v>0</v>
      </c>
      <c r="G92" s="32">
        <v>0</v>
      </c>
      <c r="H92" s="32">
        <v>0</v>
      </c>
      <c r="I92" s="32">
        <v>0</v>
      </c>
      <c r="J92" s="32"/>
      <c r="K92" s="32"/>
      <c r="L92" s="32"/>
      <c r="M92" s="32"/>
      <c r="N92" s="32"/>
    </row>
    <row r="93" spans="1:9">
      <c r="A93" s="24" t="s">
        <v>44</v>
      </c>
      <c r="B93" s="24" t="s">
        <v>36</v>
      </c>
      <c r="C93" s="24" t="s">
        <v>19</v>
      </c>
      <c r="D93" s="24" t="s">
        <v>45</v>
      </c>
      <c r="E93" s="24" t="s">
        <v>46</v>
      </c>
      <c r="F93" s="24">
        <v>1102</v>
      </c>
      <c r="G93" s="24">
        <v>6143.88</v>
      </c>
      <c r="H93" s="24">
        <v>798.72</v>
      </c>
      <c r="I93" s="24">
        <v>6942.6</v>
      </c>
    </row>
    <row r="94" spans="1:9">
      <c r="A94" s="24" t="s">
        <v>44</v>
      </c>
      <c r="B94" s="24" t="s">
        <v>36</v>
      </c>
      <c r="C94" s="24" t="s">
        <v>19</v>
      </c>
      <c r="D94" s="24" t="s">
        <v>47</v>
      </c>
      <c r="E94" s="24" t="s">
        <v>48</v>
      </c>
      <c r="F94" s="24">
        <v>1714</v>
      </c>
      <c r="G94" s="24">
        <v>9555.98</v>
      </c>
      <c r="H94" s="24">
        <v>1242.2199999999</v>
      </c>
      <c r="I94" s="24">
        <v>10798.1999999999</v>
      </c>
    </row>
    <row r="95" spans="1:9">
      <c r="A95" s="24" t="s">
        <v>44</v>
      </c>
      <c r="B95" s="24" t="s">
        <v>36</v>
      </c>
      <c r="C95" s="24" t="s">
        <v>19</v>
      </c>
      <c r="D95" s="24" t="s">
        <v>62</v>
      </c>
      <c r="E95" s="24" t="s">
        <v>63</v>
      </c>
      <c r="F95" s="24">
        <v>215</v>
      </c>
      <c r="G95" s="24">
        <v>1141.59</v>
      </c>
      <c r="H95" s="24">
        <v>148.41</v>
      </c>
      <c r="I95" s="24">
        <v>1290</v>
      </c>
    </row>
    <row r="96" spans="1:9">
      <c r="A96" s="24" t="s">
        <v>44</v>
      </c>
      <c r="B96" s="24" t="s">
        <v>36</v>
      </c>
      <c r="C96" s="24" t="s">
        <v>19</v>
      </c>
      <c r="D96" s="24" t="s">
        <v>71</v>
      </c>
      <c r="E96" s="24" t="s">
        <v>72</v>
      </c>
      <c r="F96" s="24">
        <v>884</v>
      </c>
      <c r="G96" s="24">
        <v>14081.65</v>
      </c>
      <c r="H96" s="24">
        <v>1830.35</v>
      </c>
      <c r="I96" s="24">
        <v>15912</v>
      </c>
    </row>
    <row r="97" spans="1:9">
      <c r="A97" s="24" t="s">
        <v>44</v>
      </c>
      <c r="B97" s="24" t="s">
        <v>36</v>
      </c>
      <c r="C97" s="24" t="s">
        <v>19</v>
      </c>
      <c r="D97" s="24" t="s">
        <v>64</v>
      </c>
      <c r="E97" s="24" t="s">
        <v>65</v>
      </c>
      <c r="F97" s="24">
        <v>45</v>
      </c>
      <c r="G97" s="24">
        <v>342.48</v>
      </c>
      <c r="H97" s="24">
        <v>44.52</v>
      </c>
      <c r="I97" s="24">
        <v>387</v>
      </c>
    </row>
    <row r="98" spans="1:9">
      <c r="A98" s="24" t="s">
        <v>44</v>
      </c>
      <c r="B98" s="24" t="s">
        <v>36</v>
      </c>
      <c r="C98" s="24" t="s">
        <v>19</v>
      </c>
      <c r="D98" s="24" t="s">
        <v>73</v>
      </c>
      <c r="E98" s="24" t="s">
        <v>74</v>
      </c>
      <c r="F98" s="24">
        <v>70</v>
      </c>
      <c r="G98" s="24">
        <v>11076.1</v>
      </c>
      <c r="H98" s="24">
        <v>1439.9</v>
      </c>
      <c r="I98" s="24">
        <v>12516</v>
      </c>
    </row>
    <row r="99" spans="1:9">
      <c r="A99" s="24" t="s">
        <v>44</v>
      </c>
      <c r="B99" s="24" t="s">
        <v>36</v>
      </c>
      <c r="C99" s="24" t="s">
        <v>19</v>
      </c>
      <c r="D99" s="24" t="s">
        <v>75</v>
      </c>
      <c r="E99" s="24" t="s">
        <v>76</v>
      </c>
      <c r="F99" s="24">
        <v>144</v>
      </c>
      <c r="G99" s="24">
        <v>2586.89</v>
      </c>
      <c r="H99" s="24">
        <v>336.31</v>
      </c>
      <c r="I99" s="24">
        <v>2923.2</v>
      </c>
    </row>
    <row r="100" spans="1:9">
      <c r="A100" s="24" t="s">
        <v>44</v>
      </c>
      <c r="B100" s="24" t="s">
        <v>36</v>
      </c>
      <c r="C100" s="24" t="s">
        <v>19</v>
      </c>
      <c r="D100" s="24" t="s">
        <v>77</v>
      </c>
      <c r="E100" s="24" t="s">
        <v>78</v>
      </c>
      <c r="F100" s="24">
        <v>32</v>
      </c>
      <c r="G100" s="24">
        <v>4791.51</v>
      </c>
      <c r="H100" s="24">
        <v>622.889999999999</v>
      </c>
      <c r="I100" s="24">
        <v>5414.4</v>
      </c>
    </row>
    <row r="101" spans="1:9">
      <c r="A101" s="24" t="s">
        <v>44</v>
      </c>
      <c r="B101" s="24" t="s">
        <v>36</v>
      </c>
      <c r="C101" s="24" t="s">
        <v>19</v>
      </c>
      <c r="D101" s="24" t="s">
        <v>79</v>
      </c>
      <c r="E101" s="24" t="s">
        <v>80</v>
      </c>
      <c r="F101" s="24">
        <v>54</v>
      </c>
      <c r="G101" s="24">
        <v>1347.61</v>
      </c>
      <c r="H101" s="24">
        <v>175.19</v>
      </c>
      <c r="I101" s="24">
        <v>1522.8</v>
      </c>
    </row>
    <row r="102" hidden="1" spans="1:14">
      <c r="A102" s="24" t="s">
        <v>27</v>
      </c>
      <c r="B102" s="24" t="s">
        <v>44</v>
      </c>
      <c r="C102" s="24" t="s">
        <v>26</v>
      </c>
      <c r="D102" s="24" t="s">
        <v>28</v>
      </c>
      <c r="E102" s="24" t="s">
        <v>29</v>
      </c>
      <c r="F102" s="24">
        <v>1833</v>
      </c>
      <c r="G102" s="24">
        <v>84171.93</v>
      </c>
      <c r="H102" s="24">
        <v>10942.44</v>
      </c>
      <c r="I102" s="24">
        <v>95114.37</v>
      </c>
      <c r="J102" s="24">
        <v>70489.9593797675</v>
      </c>
      <c r="K102" s="24">
        <v>63226.0203110509</v>
      </c>
      <c r="L102" s="24">
        <v>61000.496042295</v>
      </c>
      <c r="M102" s="24">
        <v>947.216634554332</v>
      </c>
      <c r="N102" s="24">
        <v>1278.30763420147</v>
      </c>
    </row>
    <row r="103" hidden="1" spans="1:14">
      <c r="A103" s="24" t="s">
        <v>27</v>
      </c>
      <c r="B103" s="24" t="s">
        <v>44</v>
      </c>
      <c r="C103" s="24" t="s">
        <v>26</v>
      </c>
      <c r="D103" s="24" t="s">
        <v>30</v>
      </c>
      <c r="E103" s="24" t="s">
        <v>31</v>
      </c>
      <c r="F103" s="24">
        <v>1249</v>
      </c>
      <c r="G103" s="24">
        <v>57354.46</v>
      </c>
      <c r="H103" s="24">
        <v>7456.15</v>
      </c>
      <c r="I103" s="24">
        <v>64810.61</v>
      </c>
      <c r="J103" s="24">
        <v>48020.5207259565</v>
      </c>
      <c r="K103" s="24">
        <v>43072.0439587341</v>
      </c>
      <c r="L103" s="24">
        <v>41555.901639421</v>
      </c>
      <c r="M103" s="24">
        <v>645.292899218333</v>
      </c>
      <c r="N103" s="24">
        <v>870.849420094953</v>
      </c>
    </row>
  </sheetData>
  <autoFilter ref="A1:S103">
    <filterColumn colId="0">
      <filters>
        <filter val="3月"/>
      </filters>
    </filterColumn>
    <filterColumn colId="2">
      <filters>
        <filter val="京东入仓-sz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X27"/>
  <sheetViews>
    <sheetView workbookViewId="0">
      <pane xSplit="5" ySplit="9" topLeftCell="F10" activePane="bottomRight" state="frozen"/>
      <selection/>
      <selection pane="topRight"/>
      <selection pane="bottomLeft"/>
      <selection pane="bottomRight" activeCell="I26" sqref="I26"/>
    </sheetView>
  </sheetViews>
  <sheetFormatPr defaultColWidth="9" defaultRowHeight="13.5"/>
  <cols>
    <col min="1" max="1" width="15.375" customWidth="1"/>
    <col min="2" max="2" width="16.25" customWidth="1"/>
    <col min="3" max="3" width="22.75" customWidth="1"/>
    <col min="4" max="4" width="16.875" customWidth="1"/>
    <col min="5" max="5" width="19.875" customWidth="1"/>
    <col min="6" max="6" width="13.625" customWidth="1"/>
    <col min="7" max="7" width="15.75"/>
    <col min="8" max="8" width="14.875"/>
    <col min="9" max="9" width="22.875"/>
    <col min="10" max="10" width="8.875" customWidth="1"/>
    <col min="11" max="11" width="10.125" customWidth="1"/>
    <col min="12" max="24" width="9" hidden="1" customWidth="1"/>
    <col min="25" max="26" width="12.625"/>
    <col min="27" max="27" width="13.375" customWidth="1"/>
    <col min="28" max="29" width="13.625" customWidth="1"/>
    <col min="30" max="31" width="17.875" customWidth="1"/>
    <col min="36" max="37" width="12.625"/>
  </cols>
  <sheetData>
    <row r="1" spans="1:76">
      <c r="A1" s="17" t="s">
        <v>81</v>
      </c>
      <c r="B1" s="17" t="s">
        <v>82</v>
      </c>
      <c r="C1" s="17" t="s">
        <v>83</v>
      </c>
      <c r="D1" s="17" t="s">
        <v>84</v>
      </c>
      <c r="E1" s="17" t="s">
        <v>85</v>
      </c>
      <c r="F1" s="17" t="s">
        <v>86</v>
      </c>
      <c r="G1" s="17" t="s">
        <v>87</v>
      </c>
      <c r="H1" s="17" t="s">
        <v>88</v>
      </c>
      <c r="I1" s="17" t="s">
        <v>89</v>
      </c>
      <c r="J1" s="17" t="s">
        <v>90</v>
      </c>
      <c r="K1" s="17" t="s">
        <v>91</v>
      </c>
      <c r="L1" s="17" t="s">
        <v>92</v>
      </c>
      <c r="M1" s="17" t="s">
        <v>93</v>
      </c>
      <c r="N1" s="17" t="s">
        <v>94</v>
      </c>
      <c r="O1" s="17" t="s">
        <v>95</v>
      </c>
      <c r="P1" s="17" t="s">
        <v>96</v>
      </c>
      <c r="Q1" s="17" t="s">
        <v>97</v>
      </c>
      <c r="R1" s="17" t="s">
        <v>98</v>
      </c>
      <c r="S1" s="17" t="s">
        <v>99</v>
      </c>
      <c r="T1" s="17" t="s">
        <v>100</v>
      </c>
      <c r="U1" s="17" t="s">
        <v>101</v>
      </c>
      <c r="V1" s="17" t="s">
        <v>102</v>
      </c>
      <c r="W1" s="17" t="s">
        <v>103</v>
      </c>
      <c r="X1" s="17" t="s">
        <v>104</v>
      </c>
      <c r="Y1" s="17" t="s">
        <v>105</v>
      </c>
      <c r="Z1" s="17" t="s">
        <v>106</v>
      </c>
      <c r="AA1" s="17" t="s">
        <v>107</v>
      </c>
      <c r="AB1" s="21" t="s">
        <v>105</v>
      </c>
      <c r="AC1" s="21" t="s">
        <v>108</v>
      </c>
      <c r="AD1" s="21" t="s">
        <v>107</v>
      </c>
      <c r="AE1" s="20" t="s">
        <v>109</v>
      </c>
      <c r="AF1" s="17" t="s">
        <v>110</v>
      </c>
      <c r="AG1" s="17" t="s">
        <v>111</v>
      </c>
      <c r="AH1" s="17" t="s">
        <v>112</v>
      </c>
      <c r="AI1" s="17" t="s">
        <v>113</v>
      </c>
      <c r="AJ1" s="17" t="s">
        <v>114</v>
      </c>
      <c r="AK1" s="17" t="s">
        <v>115</v>
      </c>
      <c r="AL1" s="17" t="s">
        <v>116</v>
      </c>
      <c r="AM1" s="17" t="s">
        <v>117</v>
      </c>
      <c r="AN1" s="17" t="s">
        <v>118</v>
      </c>
      <c r="AO1" s="17" t="s">
        <v>119</v>
      </c>
      <c r="AP1" s="17" t="s">
        <v>120</v>
      </c>
      <c r="AQ1" s="17" t="s">
        <v>121</v>
      </c>
      <c r="AR1" s="17" t="s">
        <v>122</v>
      </c>
      <c r="AS1" s="17" t="s">
        <v>123</v>
      </c>
      <c r="AT1" s="17" t="s">
        <v>124</v>
      </c>
      <c r="AU1" s="17" t="s">
        <v>125</v>
      </c>
      <c r="AV1" s="17" t="s">
        <v>126</v>
      </c>
      <c r="AW1" s="17" t="s">
        <v>127</v>
      </c>
      <c r="AX1" s="17" t="s">
        <v>128</v>
      </c>
      <c r="AY1" s="17" t="s">
        <v>129</v>
      </c>
      <c r="AZ1" s="17" t="s">
        <v>11</v>
      </c>
      <c r="BA1" s="17" t="s">
        <v>12</v>
      </c>
      <c r="BB1" s="17" t="s">
        <v>13</v>
      </c>
      <c r="BC1" s="17" t="s">
        <v>9</v>
      </c>
      <c r="BD1" s="17" t="s">
        <v>10</v>
      </c>
      <c r="BE1" s="17" t="s">
        <v>130</v>
      </c>
      <c r="BF1" s="17" t="s">
        <v>131</v>
      </c>
      <c r="BG1" s="17" t="s">
        <v>132</v>
      </c>
      <c r="BH1" s="17" t="s">
        <v>133</v>
      </c>
      <c r="BI1" s="17" t="s">
        <v>134</v>
      </c>
      <c r="BJ1" s="17" t="s">
        <v>135</v>
      </c>
      <c r="BK1" s="17" t="s">
        <v>136</v>
      </c>
      <c r="BL1" s="17" t="s">
        <v>137</v>
      </c>
      <c r="BM1" s="17" t="s">
        <v>138</v>
      </c>
      <c r="BN1" s="17" t="s">
        <v>139</v>
      </c>
      <c r="BO1" s="17" t="s">
        <v>140</v>
      </c>
      <c r="BP1" s="17" t="s">
        <v>141</v>
      </c>
      <c r="BQ1" s="17" t="s">
        <v>142</v>
      </c>
      <c r="BR1" s="17" t="s">
        <v>143</v>
      </c>
      <c r="BS1" s="17" t="s">
        <v>144</v>
      </c>
      <c r="BT1" s="17" t="s">
        <v>145</v>
      </c>
      <c r="BU1" s="17" t="s">
        <v>146</v>
      </c>
      <c r="BV1" s="19" t="s">
        <v>147</v>
      </c>
      <c r="BW1" s="19" t="s">
        <v>148</v>
      </c>
      <c r="BX1" s="19" t="s">
        <v>149</v>
      </c>
    </row>
    <row r="2" spans="1:76">
      <c r="A2" s="17" t="s">
        <v>150</v>
      </c>
      <c r="B2" s="17" t="s">
        <v>151</v>
      </c>
      <c r="C2" s="17"/>
      <c r="D2" s="17" t="s">
        <v>151</v>
      </c>
      <c r="E2" s="17" t="s">
        <v>152</v>
      </c>
      <c r="F2" s="17" t="s">
        <v>26</v>
      </c>
      <c r="G2" s="17" t="s">
        <v>28</v>
      </c>
      <c r="H2" s="17" t="s">
        <v>29</v>
      </c>
      <c r="I2" s="17" t="s">
        <v>153</v>
      </c>
      <c r="J2" s="18">
        <v>360</v>
      </c>
      <c r="K2" s="17">
        <v>1</v>
      </c>
      <c r="L2" s="17"/>
      <c r="M2" s="17"/>
      <c r="N2" s="17"/>
      <c r="O2" s="17"/>
      <c r="P2" s="17"/>
      <c r="Q2" s="17"/>
      <c r="R2" s="17">
        <v>0</v>
      </c>
      <c r="S2" s="17"/>
      <c r="T2" s="17"/>
      <c r="U2" s="17"/>
      <c r="V2" s="17">
        <v>0</v>
      </c>
      <c r="W2" s="17"/>
      <c r="X2" s="17"/>
      <c r="Y2" s="18">
        <v>18219.77</v>
      </c>
      <c r="Z2" s="17">
        <v>2368.63</v>
      </c>
      <c r="AA2" s="17">
        <v>20588.4</v>
      </c>
      <c r="AB2" s="17">
        <v>16531.33</v>
      </c>
      <c r="AC2" s="17">
        <f>AD2-AB2</f>
        <v>2149.07</v>
      </c>
      <c r="AD2" s="17">
        <v>18680.4</v>
      </c>
      <c r="AE2" s="17">
        <f>-5.3*J2</f>
        <v>-1908</v>
      </c>
      <c r="AF2" s="17"/>
      <c r="AG2" s="17"/>
      <c r="AH2" s="17"/>
      <c r="AI2" s="17">
        <v>5</v>
      </c>
      <c r="AJ2" s="17">
        <v>4.716981132</v>
      </c>
      <c r="AK2" s="17">
        <v>0.283018868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 t="s">
        <v>154</v>
      </c>
      <c r="AZ2" s="17"/>
      <c r="BA2" s="17"/>
      <c r="BB2" s="17"/>
      <c r="BC2" s="17"/>
      <c r="BD2" s="17"/>
      <c r="BE2" s="17" t="s">
        <v>155</v>
      </c>
      <c r="BF2" s="17"/>
      <c r="BG2" s="17" t="s">
        <v>156</v>
      </c>
      <c r="BH2" s="17" t="s">
        <v>157</v>
      </c>
      <c r="BI2" s="17" t="s">
        <v>150</v>
      </c>
      <c r="BJ2" s="17"/>
      <c r="BK2" s="17" t="s">
        <v>158</v>
      </c>
      <c r="BL2" s="17"/>
      <c r="BM2" s="17"/>
      <c r="BN2" s="17"/>
      <c r="BO2" s="17"/>
      <c r="BP2" s="17">
        <v>0.13</v>
      </c>
      <c r="BQ2" s="17"/>
      <c r="BR2" s="17" t="s">
        <v>159</v>
      </c>
      <c r="BS2" s="17"/>
      <c r="BT2" s="17" t="s">
        <v>160</v>
      </c>
      <c r="BU2" s="17" t="s">
        <v>161</v>
      </c>
      <c r="BV2" s="17"/>
      <c r="BW2" t="s">
        <v>162</v>
      </c>
      <c r="BX2" t="s">
        <v>36</v>
      </c>
    </row>
    <row r="3" spans="1:76">
      <c r="A3" s="17" t="s">
        <v>150</v>
      </c>
      <c r="B3" s="17" t="s">
        <v>151</v>
      </c>
      <c r="C3" s="17"/>
      <c r="D3" s="17" t="s">
        <v>151</v>
      </c>
      <c r="E3" s="17" t="s">
        <v>152</v>
      </c>
      <c r="F3" s="17" t="s">
        <v>26</v>
      </c>
      <c r="G3" s="17" t="s">
        <v>28</v>
      </c>
      <c r="H3" s="17" t="s">
        <v>29</v>
      </c>
      <c r="I3" s="17" t="s">
        <v>153</v>
      </c>
      <c r="J3" s="18">
        <v>144</v>
      </c>
      <c r="K3" s="17">
        <v>1</v>
      </c>
      <c r="L3" s="17"/>
      <c r="M3" s="17"/>
      <c r="N3" s="17"/>
      <c r="O3" s="17"/>
      <c r="P3" s="17"/>
      <c r="Q3" s="17"/>
      <c r="R3" s="17">
        <v>0</v>
      </c>
      <c r="S3" s="17"/>
      <c r="T3" s="17"/>
      <c r="U3" s="17"/>
      <c r="V3" s="17">
        <v>0</v>
      </c>
      <c r="W3" s="17"/>
      <c r="X3" s="17"/>
      <c r="Y3" s="18">
        <v>7287.91</v>
      </c>
      <c r="Z3" s="17">
        <v>947.450000000001</v>
      </c>
      <c r="AA3" s="17">
        <v>8235.36</v>
      </c>
      <c r="AB3" s="17">
        <v>6612.53</v>
      </c>
      <c r="AC3" s="17">
        <f t="shared" ref="AC3:AC9" si="0">AD3-AB3</f>
        <v>859.63</v>
      </c>
      <c r="AD3" s="17">
        <v>7472.16</v>
      </c>
      <c r="AE3" s="17">
        <f t="shared" ref="AE3:AE9" si="1">-5.3*J3</f>
        <v>-763.2</v>
      </c>
      <c r="AF3" s="17"/>
      <c r="AG3" s="17"/>
      <c r="AH3" s="17"/>
      <c r="AI3" s="17">
        <v>5</v>
      </c>
      <c r="AJ3" s="17">
        <v>4.716981132</v>
      </c>
      <c r="AK3" s="17">
        <v>0.283018868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 t="s">
        <v>154</v>
      </c>
      <c r="AZ3" s="17"/>
      <c r="BA3" s="17"/>
      <c r="BB3" s="17"/>
      <c r="BC3" s="17"/>
      <c r="BD3" s="17"/>
      <c r="BE3" s="17" t="s">
        <v>155</v>
      </c>
      <c r="BF3" s="17"/>
      <c r="BG3" s="17" t="s">
        <v>156</v>
      </c>
      <c r="BH3" s="17" t="s">
        <v>157</v>
      </c>
      <c r="BI3" s="17" t="s">
        <v>150</v>
      </c>
      <c r="BJ3" s="17"/>
      <c r="BK3" s="17" t="s">
        <v>158</v>
      </c>
      <c r="BL3" s="17"/>
      <c r="BM3" s="17"/>
      <c r="BN3" s="17"/>
      <c r="BO3" s="17"/>
      <c r="BP3" s="17">
        <v>0.13</v>
      </c>
      <c r="BQ3" s="17"/>
      <c r="BR3" s="17" t="s">
        <v>159</v>
      </c>
      <c r="BS3" s="17"/>
      <c r="BT3" s="17" t="s">
        <v>160</v>
      </c>
      <c r="BU3" s="17" t="s">
        <v>161</v>
      </c>
      <c r="BV3" s="17"/>
      <c r="BW3" t="s">
        <v>162</v>
      </c>
      <c r="BX3" t="s">
        <v>36</v>
      </c>
    </row>
    <row r="4" spans="1:76">
      <c r="A4" s="17" t="s">
        <v>150</v>
      </c>
      <c r="B4" s="17" t="s">
        <v>151</v>
      </c>
      <c r="C4" s="17"/>
      <c r="D4" s="17" t="s">
        <v>151</v>
      </c>
      <c r="E4" s="17" t="s">
        <v>152</v>
      </c>
      <c r="F4" s="17" t="s">
        <v>26</v>
      </c>
      <c r="G4" s="17" t="s">
        <v>30</v>
      </c>
      <c r="H4" s="17" t="s">
        <v>31</v>
      </c>
      <c r="I4" s="17" t="s">
        <v>153</v>
      </c>
      <c r="J4" s="18">
        <v>504</v>
      </c>
      <c r="K4" s="17">
        <v>1</v>
      </c>
      <c r="L4" s="17"/>
      <c r="M4" s="17"/>
      <c r="N4" s="17"/>
      <c r="O4" s="17"/>
      <c r="P4" s="17"/>
      <c r="Q4" s="17"/>
      <c r="R4" s="17">
        <v>0</v>
      </c>
      <c r="S4" s="17"/>
      <c r="T4" s="17"/>
      <c r="U4" s="17"/>
      <c r="V4" s="17">
        <v>0</v>
      </c>
      <c r="W4" s="17"/>
      <c r="X4" s="17"/>
      <c r="Y4" s="18">
        <v>25507.68</v>
      </c>
      <c r="Z4" s="17">
        <v>3316.08</v>
      </c>
      <c r="AA4" s="17">
        <v>28823.76</v>
      </c>
      <c r="AB4" s="17">
        <v>23143.86</v>
      </c>
      <c r="AC4" s="17">
        <f t="shared" si="0"/>
        <v>3008.7</v>
      </c>
      <c r="AD4" s="17">
        <v>26152.56</v>
      </c>
      <c r="AE4" s="17">
        <f t="shared" si="1"/>
        <v>-2671.2</v>
      </c>
      <c r="AF4" s="17"/>
      <c r="AG4" s="17"/>
      <c r="AH4" s="17"/>
      <c r="AI4" s="17">
        <v>5</v>
      </c>
      <c r="AJ4" s="17">
        <v>4.716981132</v>
      </c>
      <c r="AK4" s="17">
        <v>0.283018868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 t="s">
        <v>154</v>
      </c>
      <c r="AZ4" s="17"/>
      <c r="BA4" s="17"/>
      <c r="BB4" s="17"/>
      <c r="BC4" s="17"/>
      <c r="BD4" s="17"/>
      <c r="BE4" s="17" t="s">
        <v>155</v>
      </c>
      <c r="BF4" s="17"/>
      <c r="BG4" s="17" t="s">
        <v>156</v>
      </c>
      <c r="BH4" s="17" t="s">
        <v>157</v>
      </c>
      <c r="BI4" s="17" t="s">
        <v>150</v>
      </c>
      <c r="BJ4" s="17"/>
      <c r="BK4" s="17" t="s">
        <v>158</v>
      </c>
      <c r="BL4" s="17"/>
      <c r="BM4" s="17"/>
      <c r="BN4" s="17"/>
      <c r="BO4" s="17"/>
      <c r="BP4" s="17">
        <v>0.13</v>
      </c>
      <c r="BQ4" s="17"/>
      <c r="BR4" s="17" t="s">
        <v>159</v>
      </c>
      <c r="BS4" s="17"/>
      <c r="BT4" s="17" t="s">
        <v>160</v>
      </c>
      <c r="BU4" s="17" t="s">
        <v>161</v>
      </c>
      <c r="BV4" s="17"/>
      <c r="BW4" t="s">
        <v>162</v>
      </c>
      <c r="BX4" t="s">
        <v>36</v>
      </c>
    </row>
    <row r="5" spans="1:73">
      <c r="A5" s="17" t="s">
        <v>150</v>
      </c>
      <c r="B5" s="17" t="s">
        <v>163</v>
      </c>
      <c r="C5" s="17"/>
      <c r="D5" s="17" t="s">
        <v>163</v>
      </c>
      <c r="E5" s="17" t="s">
        <v>152</v>
      </c>
      <c r="F5" s="17" t="s">
        <v>19</v>
      </c>
      <c r="G5" s="17" t="s">
        <v>22</v>
      </c>
      <c r="H5" s="17" t="s">
        <v>23</v>
      </c>
      <c r="I5" s="17" t="s">
        <v>153</v>
      </c>
      <c r="J5" s="18">
        <v>288</v>
      </c>
      <c r="K5" s="17">
        <v>1</v>
      </c>
      <c r="L5" s="17"/>
      <c r="M5" s="17"/>
      <c r="N5" s="17"/>
      <c r="O5" s="17"/>
      <c r="P5" s="17"/>
      <c r="Q5" s="17"/>
      <c r="R5" s="17">
        <v>0</v>
      </c>
      <c r="S5" s="17"/>
      <c r="T5" s="17"/>
      <c r="U5" s="17"/>
      <c r="V5" s="17">
        <v>0</v>
      </c>
      <c r="W5" s="17"/>
      <c r="X5" s="17"/>
      <c r="Y5" s="18">
        <v>14010.09</v>
      </c>
      <c r="Z5" s="17">
        <v>1821.27</v>
      </c>
      <c r="AA5" s="17">
        <v>15831.36</v>
      </c>
      <c r="AB5" s="17">
        <v>12659.26</v>
      </c>
      <c r="AC5" s="17">
        <f t="shared" si="0"/>
        <v>1645.7</v>
      </c>
      <c r="AD5" s="17">
        <v>14304.96</v>
      </c>
      <c r="AE5" s="17">
        <f t="shared" si="1"/>
        <v>-1526.4</v>
      </c>
      <c r="AF5" s="17"/>
      <c r="AG5" s="17"/>
      <c r="AH5" s="17"/>
      <c r="AI5" s="17">
        <v>5</v>
      </c>
      <c r="AJ5" s="17">
        <v>4.716981132</v>
      </c>
      <c r="AK5" s="17">
        <v>0.283018868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 t="s">
        <v>154</v>
      </c>
      <c r="AZ5" s="17"/>
      <c r="BA5" s="17"/>
      <c r="BB5" s="17"/>
      <c r="BC5" s="17"/>
      <c r="BD5" s="17"/>
      <c r="BE5" s="17" t="s">
        <v>155</v>
      </c>
      <c r="BF5" s="17"/>
      <c r="BG5" s="17" t="s">
        <v>156</v>
      </c>
      <c r="BH5" s="17" t="s">
        <v>157</v>
      </c>
      <c r="BI5" s="17" t="s">
        <v>150</v>
      </c>
      <c r="BJ5" s="17"/>
      <c r="BK5" s="17" t="s">
        <v>158</v>
      </c>
      <c r="BL5" s="17"/>
      <c r="BM5" s="17"/>
      <c r="BN5" s="17"/>
      <c r="BO5" s="17"/>
      <c r="BP5" s="17">
        <v>0.13</v>
      </c>
      <c r="BQ5" s="17"/>
      <c r="BR5" s="17" t="s">
        <v>164</v>
      </c>
      <c r="BS5" s="17"/>
      <c r="BT5" s="17" t="s">
        <v>165</v>
      </c>
      <c r="BU5" s="17" t="s">
        <v>161</v>
      </c>
    </row>
    <row r="6" spans="1:73">
      <c r="A6" s="17" t="s">
        <v>150</v>
      </c>
      <c r="B6" s="17" t="s">
        <v>163</v>
      </c>
      <c r="C6" s="17"/>
      <c r="D6" s="17" t="s">
        <v>163</v>
      </c>
      <c r="E6" s="17" t="s">
        <v>152</v>
      </c>
      <c r="F6" s="17" t="s">
        <v>19</v>
      </c>
      <c r="G6" s="17" t="s">
        <v>32</v>
      </c>
      <c r="H6" s="17" t="s">
        <v>33</v>
      </c>
      <c r="I6" s="17" t="s">
        <v>153</v>
      </c>
      <c r="J6" s="18">
        <v>512</v>
      </c>
      <c r="K6" s="17">
        <v>1</v>
      </c>
      <c r="L6" s="17"/>
      <c r="M6" s="17"/>
      <c r="N6" s="17"/>
      <c r="O6" s="17"/>
      <c r="P6" s="17"/>
      <c r="Q6" s="17"/>
      <c r="R6" s="17">
        <v>0</v>
      </c>
      <c r="S6" s="17"/>
      <c r="T6" s="17"/>
      <c r="U6" s="17"/>
      <c r="V6" s="17">
        <v>0</v>
      </c>
      <c r="W6" s="17"/>
      <c r="X6" s="17"/>
      <c r="Y6" s="18">
        <v>25006.3</v>
      </c>
      <c r="Z6" s="17">
        <v>3250.98</v>
      </c>
      <c r="AA6" s="17">
        <v>28257.28</v>
      </c>
      <c r="AB6" s="17">
        <v>22605.03</v>
      </c>
      <c r="AC6" s="17">
        <f t="shared" si="0"/>
        <v>2938.65</v>
      </c>
      <c r="AD6" s="17">
        <v>25543.68</v>
      </c>
      <c r="AE6" s="17">
        <f t="shared" si="1"/>
        <v>-2713.6</v>
      </c>
      <c r="AF6" s="17"/>
      <c r="AG6" s="17"/>
      <c r="AH6" s="17"/>
      <c r="AI6" s="17">
        <v>5</v>
      </c>
      <c r="AJ6" s="17">
        <v>4.716981132</v>
      </c>
      <c r="AK6" s="17">
        <v>0.283018868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 t="s">
        <v>154</v>
      </c>
      <c r="AZ6" s="17"/>
      <c r="BA6" s="17"/>
      <c r="BB6" s="17"/>
      <c r="BC6" s="17"/>
      <c r="BD6" s="17"/>
      <c r="BE6" s="17" t="s">
        <v>155</v>
      </c>
      <c r="BF6" s="17"/>
      <c r="BG6" s="17" t="s">
        <v>156</v>
      </c>
      <c r="BH6" s="17" t="s">
        <v>157</v>
      </c>
      <c r="BI6" s="17" t="s">
        <v>150</v>
      </c>
      <c r="BJ6" s="17"/>
      <c r="BK6" s="17" t="s">
        <v>158</v>
      </c>
      <c r="BL6" s="17"/>
      <c r="BM6" s="17"/>
      <c r="BN6" s="17"/>
      <c r="BO6" s="17"/>
      <c r="BP6" s="17">
        <v>0.13</v>
      </c>
      <c r="BQ6" s="17"/>
      <c r="BR6" s="17" t="s">
        <v>164</v>
      </c>
      <c r="BS6" s="17"/>
      <c r="BT6" s="17" t="s">
        <v>166</v>
      </c>
      <c r="BU6" s="17" t="s">
        <v>161</v>
      </c>
    </row>
    <row r="7" spans="1:73">
      <c r="A7" s="17" t="s">
        <v>150</v>
      </c>
      <c r="B7" s="17" t="s">
        <v>163</v>
      </c>
      <c r="C7" s="17"/>
      <c r="D7" s="17" t="s">
        <v>163</v>
      </c>
      <c r="E7" s="17" t="s">
        <v>152</v>
      </c>
      <c r="F7" s="17" t="s">
        <v>19</v>
      </c>
      <c r="G7" s="17" t="s">
        <v>34</v>
      </c>
      <c r="H7" s="17" t="s">
        <v>35</v>
      </c>
      <c r="I7" s="17" t="s">
        <v>153</v>
      </c>
      <c r="J7" s="18">
        <v>512</v>
      </c>
      <c r="K7" s="17">
        <v>1</v>
      </c>
      <c r="L7" s="17"/>
      <c r="M7" s="17"/>
      <c r="N7" s="17"/>
      <c r="O7" s="17"/>
      <c r="P7" s="17"/>
      <c r="Q7" s="17"/>
      <c r="R7" s="17">
        <v>0</v>
      </c>
      <c r="S7" s="17"/>
      <c r="T7" s="17"/>
      <c r="U7" s="17"/>
      <c r="V7" s="17">
        <v>0</v>
      </c>
      <c r="W7" s="17"/>
      <c r="X7" s="17"/>
      <c r="Y7" s="18">
        <v>25006.29</v>
      </c>
      <c r="Z7" s="17">
        <v>3250.99</v>
      </c>
      <c r="AA7" s="17">
        <v>28257.28</v>
      </c>
      <c r="AB7" s="17">
        <v>22605.03</v>
      </c>
      <c r="AC7" s="17">
        <f t="shared" si="0"/>
        <v>2938.65</v>
      </c>
      <c r="AD7" s="17">
        <v>25543.68</v>
      </c>
      <c r="AE7" s="17">
        <f t="shared" si="1"/>
        <v>-2713.6</v>
      </c>
      <c r="AF7" s="17"/>
      <c r="AG7" s="17"/>
      <c r="AH7" s="17"/>
      <c r="AI7" s="17">
        <v>5</v>
      </c>
      <c r="AJ7" s="17">
        <v>4.716981132</v>
      </c>
      <c r="AK7" s="17">
        <v>0.283018868</v>
      </c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 t="s">
        <v>154</v>
      </c>
      <c r="AZ7" s="17"/>
      <c r="BA7" s="17"/>
      <c r="BB7" s="17"/>
      <c r="BC7" s="17"/>
      <c r="BD7" s="17"/>
      <c r="BE7" s="17" t="s">
        <v>155</v>
      </c>
      <c r="BF7" s="17"/>
      <c r="BG7" s="17" t="s">
        <v>156</v>
      </c>
      <c r="BH7" s="17" t="s">
        <v>157</v>
      </c>
      <c r="BI7" s="17" t="s">
        <v>150</v>
      </c>
      <c r="BJ7" s="17"/>
      <c r="BK7" s="17" t="s">
        <v>158</v>
      </c>
      <c r="BL7" s="17"/>
      <c r="BM7" s="17"/>
      <c r="BN7" s="17"/>
      <c r="BO7" s="17"/>
      <c r="BP7" s="17">
        <v>0.13</v>
      </c>
      <c r="BQ7" s="17"/>
      <c r="BR7" s="17" t="s">
        <v>164</v>
      </c>
      <c r="BS7" s="17"/>
      <c r="BT7" s="17" t="s">
        <v>166</v>
      </c>
      <c r="BU7" s="17" t="s">
        <v>161</v>
      </c>
    </row>
    <row r="8" spans="1:73">
      <c r="A8" s="17" t="s">
        <v>150</v>
      </c>
      <c r="B8" s="17" t="s">
        <v>163</v>
      </c>
      <c r="C8" s="17"/>
      <c r="D8" s="17" t="s">
        <v>163</v>
      </c>
      <c r="E8" s="17" t="s">
        <v>152</v>
      </c>
      <c r="F8" s="17" t="s">
        <v>19</v>
      </c>
      <c r="G8" s="17" t="s">
        <v>28</v>
      </c>
      <c r="H8" s="17" t="s">
        <v>29</v>
      </c>
      <c r="I8" s="17" t="s">
        <v>153</v>
      </c>
      <c r="J8" s="18">
        <v>504</v>
      </c>
      <c r="K8" s="17">
        <v>1</v>
      </c>
      <c r="L8" s="17"/>
      <c r="M8" s="17"/>
      <c r="N8" s="17"/>
      <c r="O8" s="17"/>
      <c r="P8" s="17"/>
      <c r="Q8" s="17"/>
      <c r="R8" s="17">
        <v>0</v>
      </c>
      <c r="S8" s="17"/>
      <c r="T8" s="17"/>
      <c r="U8" s="17"/>
      <c r="V8" s="17">
        <v>0</v>
      </c>
      <c r="W8" s="17"/>
      <c r="X8" s="17"/>
      <c r="Y8" s="18">
        <v>25507.68</v>
      </c>
      <c r="Z8" s="17">
        <v>3316.08</v>
      </c>
      <c r="AA8" s="17">
        <v>28823.76</v>
      </c>
      <c r="AB8" s="17">
        <v>23143.86</v>
      </c>
      <c r="AC8" s="17">
        <f t="shared" si="0"/>
        <v>3008.7</v>
      </c>
      <c r="AD8" s="17">
        <v>26152.56</v>
      </c>
      <c r="AE8" s="17">
        <f t="shared" si="1"/>
        <v>-2671.2</v>
      </c>
      <c r="AF8" s="17"/>
      <c r="AG8" s="17"/>
      <c r="AH8" s="17"/>
      <c r="AI8" s="17">
        <v>5</v>
      </c>
      <c r="AJ8" s="17">
        <v>4.716981132</v>
      </c>
      <c r="AK8" s="17">
        <v>0.283018868</v>
      </c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 t="s">
        <v>154</v>
      </c>
      <c r="AZ8" s="17"/>
      <c r="BA8" s="17"/>
      <c r="BB8" s="17"/>
      <c r="BC8" s="17"/>
      <c r="BD8" s="17"/>
      <c r="BE8" s="17" t="s">
        <v>155</v>
      </c>
      <c r="BF8" s="17"/>
      <c r="BG8" s="17" t="s">
        <v>156</v>
      </c>
      <c r="BH8" s="17" t="s">
        <v>157</v>
      </c>
      <c r="BI8" s="17" t="s">
        <v>150</v>
      </c>
      <c r="BJ8" s="17"/>
      <c r="BK8" s="17" t="s">
        <v>158</v>
      </c>
      <c r="BL8" s="17"/>
      <c r="BM8" s="17"/>
      <c r="BN8" s="17"/>
      <c r="BO8" s="17"/>
      <c r="BP8" s="17">
        <v>0.13</v>
      </c>
      <c r="BQ8" s="17"/>
      <c r="BR8" s="17" t="s">
        <v>164</v>
      </c>
      <c r="BS8" s="17"/>
      <c r="BT8" s="17" t="s">
        <v>160</v>
      </c>
      <c r="BU8" s="17" t="s">
        <v>161</v>
      </c>
    </row>
    <row r="9" spans="1:73">
      <c r="A9" s="17" t="s">
        <v>150</v>
      </c>
      <c r="B9" s="17" t="s">
        <v>163</v>
      </c>
      <c r="C9" s="17"/>
      <c r="D9" s="17" t="s">
        <v>163</v>
      </c>
      <c r="E9" s="17" t="s">
        <v>152</v>
      </c>
      <c r="F9" s="17" t="s">
        <v>19</v>
      </c>
      <c r="G9" s="17" t="s">
        <v>30</v>
      </c>
      <c r="H9" s="17" t="s">
        <v>31</v>
      </c>
      <c r="I9" s="17" t="s">
        <v>153</v>
      </c>
      <c r="J9" s="18">
        <v>504</v>
      </c>
      <c r="K9" s="17">
        <v>1</v>
      </c>
      <c r="L9" s="17"/>
      <c r="M9" s="17"/>
      <c r="N9" s="17"/>
      <c r="O9" s="17"/>
      <c r="P9" s="17"/>
      <c r="Q9" s="17"/>
      <c r="R9" s="17">
        <v>0</v>
      </c>
      <c r="S9" s="17"/>
      <c r="T9" s="17"/>
      <c r="U9" s="17"/>
      <c r="V9" s="17">
        <v>0</v>
      </c>
      <c r="W9" s="17"/>
      <c r="X9" s="17"/>
      <c r="Y9" s="18">
        <v>25507.68</v>
      </c>
      <c r="Z9" s="17">
        <v>3316.08</v>
      </c>
      <c r="AA9" s="17">
        <v>28823.76</v>
      </c>
      <c r="AB9" s="17">
        <v>23143.86</v>
      </c>
      <c r="AC9" s="17">
        <f t="shared" si="0"/>
        <v>3008.7</v>
      </c>
      <c r="AD9" s="17">
        <v>26152.56</v>
      </c>
      <c r="AE9" s="17">
        <f t="shared" si="1"/>
        <v>-2671.2</v>
      </c>
      <c r="AF9" s="17"/>
      <c r="AG9" s="17"/>
      <c r="AH9" s="17"/>
      <c r="AI9" s="17">
        <v>5</v>
      </c>
      <c r="AJ9" s="17">
        <v>4.716981132</v>
      </c>
      <c r="AK9" s="17">
        <v>0.283018868</v>
      </c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 t="s">
        <v>154</v>
      </c>
      <c r="AZ9" s="17"/>
      <c r="BA9" s="17"/>
      <c r="BB9" s="17"/>
      <c r="BC9" s="17"/>
      <c r="BD9" s="17"/>
      <c r="BE9" s="17" t="s">
        <v>155</v>
      </c>
      <c r="BF9" s="17"/>
      <c r="BG9" s="17" t="s">
        <v>156</v>
      </c>
      <c r="BH9" s="17" t="s">
        <v>157</v>
      </c>
      <c r="BI9" s="17" t="s">
        <v>150</v>
      </c>
      <c r="BJ9" s="17"/>
      <c r="BK9" s="17" t="s">
        <v>158</v>
      </c>
      <c r="BL9" s="17"/>
      <c r="BM9" s="17"/>
      <c r="BN9" s="17"/>
      <c r="BO9" s="17"/>
      <c r="BP9" s="17">
        <v>0.13</v>
      </c>
      <c r="BQ9" s="17"/>
      <c r="BR9" s="17" t="s">
        <v>164</v>
      </c>
      <c r="BS9" s="17"/>
      <c r="BT9" s="17" t="s">
        <v>160</v>
      </c>
      <c r="BU9" s="17" t="s">
        <v>161</v>
      </c>
    </row>
    <row r="10" spans="8:9">
      <c r="H10" t="s">
        <v>87</v>
      </c>
      <c r="I10" t="s">
        <v>167</v>
      </c>
    </row>
    <row r="11" spans="8:9">
      <c r="H11" t="s">
        <v>22</v>
      </c>
      <c r="I11">
        <v>-1526.4</v>
      </c>
    </row>
    <row r="12" spans="8:9">
      <c r="H12" t="s">
        <v>32</v>
      </c>
      <c r="I12">
        <v>-2713.6</v>
      </c>
    </row>
    <row r="13" spans="1:9">
      <c r="A13" t="s">
        <v>86</v>
      </c>
      <c r="B13" t="s">
        <v>133</v>
      </c>
      <c r="C13" t="s">
        <v>168</v>
      </c>
      <c r="D13" t="s">
        <v>169</v>
      </c>
      <c r="E13" t="s">
        <v>170</v>
      </c>
      <c r="H13" t="s">
        <v>34</v>
      </c>
      <c r="I13">
        <v>-2713.6</v>
      </c>
    </row>
    <row r="14" spans="1:9">
      <c r="A14" t="s">
        <v>26</v>
      </c>
      <c r="C14">
        <v>51015.36</v>
      </c>
      <c r="D14">
        <v>6632.16</v>
      </c>
      <c r="E14">
        <v>57647.52</v>
      </c>
      <c r="H14" t="s">
        <v>28</v>
      </c>
      <c r="I14">
        <v>-5342.4</v>
      </c>
    </row>
    <row r="15" spans="2:9">
      <c r="B15" t="s">
        <v>157</v>
      </c>
      <c r="C15">
        <v>51015.36</v>
      </c>
      <c r="D15">
        <v>6632.16</v>
      </c>
      <c r="E15">
        <v>57647.52</v>
      </c>
      <c r="H15" t="s">
        <v>30</v>
      </c>
      <c r="I15">
        <v>-5342.4</v>
      </c>
    </row>
    <row r="16" spans="1:9">
      <c r="A16" t="s">
        <v>19</v>
      </c>
      <c r="C16">
        <v>115038.04</v>
      </c>
      <c r="D16">
        <v>14955.4</v>
      </c>
      <c r="E16">
        <v>129993.44</v>
      </c>
      <c r="H16" t="s">
        <v>171</v>
      </c>
      <c r="I16">
        <v>-17638.4</v>
      </c>
    </row>
    <row r="17" spans="2:5">
      <c r="B17" t="s">
        <v>157</v>
      </c>
      <c r="C17">
        <v>115038.04</v>
      </c>
      <c r="D17">
        <v>14955.4</v>
      </c>
      <c r="E17">
        <v>129993.44</v>
      </c>
    </row>
    <row r="18" spans="1:5">
      <c r="A18" t="s">
        <v>171</v>
      </c>
      <c r="C18">
        <v>166053.4</v>
      </c>
      <c r="D18">
        <v>21587.56</v>
      </c>
      <c r="E18">
        <v>187640.96</v>
      </c>
    </row>
    <row r="19" spans="6:6">
      <c r="F19">
        <f>E27-E18</f>
        <v>-17638.4</v>
      </c>
    </row>
    <row r="21" spans="6:6">
      <c r="F21" s="28">
        <f>F19+F23</f>
        <v>-45778.3</v>
      </c>
    </row>
    <row r="22" spans="1:5">
      <c r="A22" t="s">
        <v>86</v>
      </c>
      <c r="B22" t="s">
        <v>133</v>
      </c>
      <c r="C22" t="s">
        <v>172</v>
      </c>
      <c r="D22" t="s">
        <v>173</v>
      </c>
      <c r="E22" t="s">
        <v>174</v>
      </c>
    </row>
    <row r="23" spans="1:6">
      <c r="A23" t="s">
        <v>26</v>
      </c>
      <c r="C23">
        <v>46287.72</v>
      </c>
      <c r="D23">
        <v>6017.4</v>
      </c>
      <c r="E23">
        <v>52305.12</v>
      </c>
      <c r="F23">
        <v>-28139.9</v>
      </c>
    </row>
    <row r="24" spans="2:11">
      <c r="B24" t="s">
        <v>157</v>
      </c>
      <c r="C24">
        <v>46287.72</v>
      </c>
      <c r="D24">
        <v>6017.4</v>
      </c>
      <c r="E24">
        <v>52305.12</v>
      </c>
      <c r="K24" t="s">
        <v>175</v>
      </c>
    </row>
    <row r="25" spans="1:5">
      <c r="A25" t="s">
        <v>19</v>
      </c>
      <c r="C25">
        <v>104157.04</v>
      </c>
      <c r="D25">
        <v>13540.4</v>
      </c>
      <c r="E25">
        <v>117697.44</v>
      </c>
    </row>
    <row r="26" spans="2:5">
      <c r="B26" t="s">
        <v>157</v>
      </c>
      <c r="C26">
        <v>104157.04</v>
      </c>
      <c r="D26">
        <v>13540.4</v>
      </c>
      <c r="E26">
        <v>117697.44</v>
      </c>
    </row>
    <row r="27" spans="1:5">
      <c r="A27" t="s">
        <v>171</v>
      </c>
      <c r="C27">
        <v>150444.76</v>
      </c>
      <c r="D27">
        <v>19557.8</v>
      </c>
      <c r="E27">
        <v>170002.56</v>
      </c>
    </row>
  </sheetData>
  <autoFilter ref="A1:BX27">
    <extLst/>
  </autoFilter>
  <pageMargins left="0.75" right="0.75" top="1" bottom="1" header="0.5" footer="0.5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5"/>
  <sheetViews>
    <sheetView workbookViewId="0">
      <pane ySplit="15" topLeftCell="A16" activePane="bottomLeft" state="frozen"/>
      <selection/>
      <selection pane="bottomLeft" activeCell="E40" sqref="E40"/>
    </sheetView>
  </sheetViews>
  <sheetFormatPr defaultColWidth="9" defaultRowHeight="13.5"/>
  <cols>
    <col min="2" max="2" width="11.375"/>
    <col min="3" max="12" width="22.375"/>
    <col min="13" max="13" width="7.75" customWidth="1"/>
    <col min="16" max="28" width="9" customWidth="1"/>
    <col min="29" max="29" width="12.625" customWidth="1"/>
    <col min="30" max="30" width="8.75" customWidth="1"/>
    <col min="31" max="31" width="12.625"/>
    <col min="32" max="51" width="9" customWidth="1"/>
    <col min="52" max="54" width="4.375" customWidth="1"/>
    <col min="55" max="56" width="14.875" customWidth="1"/>
    <col min="57" max="73" width="9" customWidth="1"/>
    <col min="74" max="74" width="12.625"/>
  </cols>
  <sheetData>
    <row r="1" spans="1:76">
      <c r="A1" s="23" t="s">
        <v>176</v>
      </c>
      <c r="B1" t="s">
        <v>89</v>
      </c>
      <c r="C1" s="20" t="s">
        <v>177</v>
      </c>
      <c r="D1" s="20" t="s">
        <v>81</v>
      </c>
      <c r="E1" s="17" t="s">
        <v>82</v>
      </c>
      <c r="F1" s="17" t="s">
        <v>83</v>
      </c>
      <c r="G1" s="17" t="s">
        <v>84</v>
      </c>
      <c r="H1" s="17" t="s">
        <v>85</v>
      </c>
      <c r="I1" s="17" t="s">
        <v>86</v>
      </c>
      <c r="J1" s="17" t="s">
        <v>87</v>
      </c>
      <c r="K1" s="17" t="s">
        <v>88</v>
      </c>
      <c r="L1" s="17" t="s">
        <v>89</v>
      </c>
      <c r="M1" s="21" t="s">
        <v>90</v>
      </c>
      <c r="N1" s="20" t="s">
        <v>178</v>
      </c>
      <c r="O1" s="17" t="s">
        <v>91</v>
      </c>
      <c r="P1" s="17" t="s">
        <v>92</v>
      </c>
      <c r="Q1" s="17" t="s">
        <v>93</v>
      </c>
      <c r="R1" s="17" t="s">
        <v>94</v>
      </c>
      <c r="S1" s="17" t="s">
        <v>95</v>
      </c>
      <c r="T1" s="17" t="s">
        <v>96</v>
      </c>
      <c r="U1" s="17" t="s">
        <v>97</v>
      </c>
      <c r="V1" s="17" t="s">
        <v>98</v>
      </c>
      <c r="W1" s="17" t="s">
        <v>99</v>
      </c>
      <c r="X1" s="17" t="s">
        <v>100</v>
      </c>
      <c r="Y1" s="17" t="s">
        <v>101</v>
      </c>
      <c r="Z1" s="17" t="s">
        <v>102</v>
      </c>
      <c r="AA1" s="17" t="s">
        <v>103</v>
      </c>
      <c r="AB1" s="17" t="s">
        <v>104</v>
      </c>
      <c r="AC1" s="21" t="s">
        <v>105</v>
      </c>
      <c r="AD1" s="21" t="s">
        <v>106</v>
      </c>
      <c r="AE1" s="21" t="s">
        <v>107</v>
      </c>
      <c r="AF1" s="17" t="s">
        <v>110</v>
      </c>
      <c r="AG1" s="17" t="s">
        <v>111</v>
      </c>
      <c r="AH1" s="17" t="s">
        <v>112</v>
      </c>
      <c r="AI1" s="21" t="s">
        <v>113</v>
      </c>
      <c r="AJ1" s="21" t="s">
        <v>114</v>
      </c>
      <c r="AK1" s="21" t="s">
        <v>115</v>
      </c>
      <c r="AL1" s="17" t="s">
        <v>116</v>
      </c>
      <c r="AM1" s="17" t="s">
        <v>117</v>
      </c>
      <c r="AN1" s="17" t="s">
        <v>118</v>
      </c>
      <c r="AO1" s="17" t="s">
        <v>119</v>
      </c>
      <c r="AP1" s="17" t="s">
        <v>120</v>
      </c>
      <c r="AQ1" s="17" t="s">
        <v>121</v>
      </c>
      <c r="AR1" s="17" t="s">
        <v>122</v>
      </c>
      <c r="AS1" s="17" t="s">
        <v>123</v>
      </c>
      <c r="AT1" s="17" t="s">
        <v>124</v>
      </c>
      <c r="AU1" s="17" t="s">
        <v>125</v>
      </c>
      <c r="AV1" s="17" t="s">
        <v>126</v>
      </c>
      <c r="AW1" s="17" t="s">
        <v>127</v>
      </c>
      <c r="AX1" s="17" t="s">
        <v>128</v>
      </c>
      <c r="AY1" s="17" t="s">
        <v>129</v>
      </c>
      <c r="AZ1" s="21" t="s">
        <v>11</v>
      </c>
      <c r="BA1" s="21" t="s">
        <v>12</v>
      </c>
      <c r="BB1" s="21" t="s">
        <v>13</v>
      </c>
      <c r="BC1" s="21" t="s">
        <v>9</v>
      </c>
      <c r="BD1" s="21" t="s">
        <v>10</v>
      </c>
      <c r="BE1" s="17" t="s">
        <v>130</v>
      </c>
      <c r="BF1" s="17" t="s">
        <v>131</v>
      </c>
      <c r="BG1" s="17" t="s">
        <v>132</v>
      </c>
      <c r="BH1" s="17" t="s">
        <v>133</v>
      </c>
      <c r="BI1" s="17" t="s">
        <v>134</v>
      </c>
      <c r="BJ1" s="17" t="s">
        <v>135</v>
      </c>
      <c r="BK1" s="21" t="s">
        <v>136</v>
      </c>
      <c r="BL1" s="17" t="s">
        <v>137</v>
      </c>
      <c r="BM1" s="17" t="s">
        <v>138</v>
      </c>
      <c r="BN1" s="17" t="s">
        <v>139</v>
      </c>
      <c r="BO1" s="17" t="s">
        <v>140</v>
      </c>
      <c r="BP1" s="17" t="s">
        <v>141</v>
      </c>
      <c r="BQ1" s="17" t="s">
        <v>142</v>
      </c>
      <c r="BR1" s="17" t="s">
        <v>143</v>
      </c>
      <c r="BS1" s="17" t="s">
        <v>144</v>
      </c>
      <c r="BT1" s="17" t="s">
        <v>145</v>
      </c>
      <c r="BU1" s="17" t="s">
        <v>146</v>
      </c>
      <c r="BV1" s="19" t="s">
        <v>147</v>
      </c>
      <c r="BW1" s="19" t="s">
        <v>148</v>
      </c>
      <c r="BX1" s="19" t="s">
        <v>149</v>
      </c>
    </row>
    <row r="2" spans="1:73">
      <c r="A2" s="23"/>
      <c r="B2" t="s">
        <v>175</v>
      </c>
      <c r="C2" s="17">
        <v>174972</v>
      </c>
      <c r="D2" s="17" t="s">
        <v>150</v>
      </c>
      <c r="E2" s="17" t="s">
        <v>179</v>
      </c>
      <c r="F2" s="17"/>
      <c r="G2" s="17" t="s">
        <v>179</v>
      </c>
      <c r="H2" s="17" t="s">
        <v>152</v>
      </c>
      <c r="I2" s="17" t="s">
        <v>26</v>
      </c>
      <c r="J2" s="25" t="s">
        <v>28</v>
      </c>
      <c r="K2" s="17" t="s">
        <v>29</v>
      </c>
      <c r="L2" s="17" t="s">
        <v>153</v>
      </c>
      <c r="M2" s="22">
        <v>2016</v>
      </c>
      <c r="N2" s="22">
        <v>2016</v>
      </c>
      <c r="O2" s="17">
        <v>1</v>
      </c>
      <c r="P2" s="17"/>
      <c r="Q2" s="17">
        <v>0</v>
      </c>
      <c r="R2" s="17"/>
      <c r="S2" s="17"/>
      <c r="T2" s="17"/>
      <c r="U2" s="17"/>
      <c r="V2" s="17">
        <v>0</v>
      </c>
      <c r="W2" s="17"/>
      <c r="X2" s="17"/>
      <c r="Y2" s="17"/>
      <c r="Z2" s="17">
        <v>0</v>
      </c>
      <c r="AA2" s="17"/>
      <c r="AB2" s="17"/>
      <c r="AC2" s="22">
        <v>92575.35</v>
      </c>
      <c r="AD2" s="21">
        <v>12034.89</v>
      </c>
      <c r="AE2" s="21">
        <v>104610.24</v>
      </c>
      <c r="AF2" s="17"/>
      <c r="AG2" s="17"/>
      <c r="AH2" s="17"/>
      <c r="AI2" s="22">
        <v>0</v>
      </c>
      <c r="AJ2" s="22">
        <v>0</v>
      </c>
      <c r="AK2" s="22">
        <v>0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 t="s">
        <v>154</v>
      </c>
      <c r="AZ2" s="22">
        <v>67090.5619319513</v>
      </c>
      <c r="BA2" s="22">
        <v>1041.78327073733</v>
      </c>
      <c r="BB2" s="22">
        <v>1405.92918196954</v>
      </c>
      <c r="BC2" s="22">
        <v>77527.4184995152</v>
      </c>
      <c r="BD2" s="22">
        <v>69538.2743846583</v>
      </c>
      <c r="BE2" s="17" t="s">
        <v>180</v>
      </c>
      <c r="BF2" s="17"/>
      <c r="BG2" s="17" t="s">
        <v>156</v>
      </c>
      <c r="BH2" s="17" t="s">
        <v>157</v>
      </c>
      <c r="BI2" s="17" t="s">
        <v>150</v>
      </c>
      <c r="BJ2" s="17"/>
      <c r="BK2" s="21" t="s">
        <v>181</v>
      </c>
      <c r="BL2" s="17"/>
      <c r="BM2" s="17"/>
      <c r="BN2" s="17"/>
      <c r="BO2" s="17"/>
      <c r="BP2" s="17">
        <v>0.13</v>
      </c>
      <c r="BQ2" s="17"/>
      <c r="BR2" s="17" t="s">
        <v>182</v>
      </c>
      <c r="BS2" s="17"/>
      <c r="BT2" s="17" t="s">
        <v>160</v>
      </c>
      <c r="BU2" s="17" t="s">
        <v>161</v>
      </c>
    </row>
    <row r="3" spans="1:73">
      <c r="A3" s="23"/>
      <c r="B3" t="s">
        <v>175</v>
      </c>
      <c r="C3" s="17">
        <v>174973</v>
      </c>
      <c r="D3" s="17" t="s">
        <v>150</v>
      </c>
      <c r="E3" s="17" t="s">
        <v>179</v>
      </c>
      <c r="F3" s="17"/>
      <c r="G3" s="17" t="s">
        <v>179</v>
      </c>
      <c r="H3" s="17" t="s">
        <v>152</v>
      </c>
      <c r="I3" s="17" t="s">
        <v>26</v>
      </c>
      <c r="J3" s="26" t="s">
        <v>30</v>
      </c>
      <c r="K3" s="17" t="s">
        <v>31</v>
      </c>
      <c r="L3" s="17" t="s">
        <v>153</v>
      </c>
      <c r="M3" s="22">
        <v>2016</v>
      </c>
      <c r="N3" s="22">
        <v>2016</v>
      </c>
      <c r="O3" s="17">
        <v>1</v>
      </c>
      <c r="P3" s="17"/>
      <c r="Q3" s="17">
        <v>0</v>
      </c>
      <c r="R3" s="17"/>
      <c r="S3" s="17"/>
      <c r="T3" s="17"/>
      <c r="U3" s="17"/>
      <c r="V3" s="17">
        <v>0</v>
      </c>
      <c r="W3" s="17"/>
      <c r="X3" s="17"/>
      <c r="Y3" s="17"/>
      <c r="Z3" s="17">
        <v>0</v>
      </c>
      <c r="AA3" s="17"/>
      <c r="AB3" s="17"/>
      <c r="AC3" s="22">
        <v>92575.33</v>
      </c>
      <c r="AD3" s="21">
        <v>12034.91</v>
      </c>
      <c r="AE3" s="21">
        <v>104610.24</v>
      </c>
      <c r="AF3" s="17"/>
      <c r="AG3" s="17"/>
      <c r="AH3" s="17"/>
      <c r="AI3" s="22">
        <v>0</v>
      </c>
      <c r="AJ3" s="22">
        <v>0</v>
      </c>
      <c r="AK3" s="22">
        <v>0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 t="s">
        <v>154</v>
      </c>
      <c r="AZ3" s="22">
        <v>67075.018178601</v>
      </c>
      <c r="BA3" s="22">
        <v>1041.56163716906</v>
      </c>
      <c r="BB3" s="22">
        <v>1405.63044908841</v>
      </c>
      <c r="BC3" s="22">
        <v>77509.5034295663</v>
      </c>
      <c r="BD3" s="22">
        <v>69522.2102648582</v>
      </c>
      <c r="BE3" s="17" t="s">
        <v>180</v>
      </c>
      <c r="BF3" s="17"/>
      <c r="BG3" s="17" t="s">
        <v>156</v>
      </c>
      <c r="BH3" s="17" t="s">
        <v>157</v>
      </c>
      <c r="BI3" s="17" t="s">
        <v>150</v>
      </c>
      <c r="BJ3" s="17"/>
      <c r="BK3" s="21" t="s">
        <v>181</v>
      </c>
      <c r="BL3" s="17"/>
      <c r="BM3" s="17"/>
      <c r="BN3" s="17"/>
      <c r="BO3" s="17"/>
      <c r="BP3" s="17">
        <v>0.13</v>
      </c>
      <c r="BQ3" s="17"/>
      <c r="BR3" s="17" t="s">
        <v>182</v>
      </c>
      <c r="BS3" s="17"/>
      <c r="BT3" s="17" t="s">
        <v>160</v>
      </c>
      <c r="BU3" s="17" t="s">
        <v>161</v>
      </c>
    </row>
    <row r="4" spans="1:73">
      <c r="A4" s="23"/>
      <c r="B4" t="s">
        <v>175</v>
      </c>
      <c r="C4" s="17">
        <v>187496</v>
      </c>
      <c r="D4" s="17" t="s">
        <v>150</v>
      </c>
      <c r="E4" s="17" t="s">
        <v>183</v>
      </c>
      <c r="F4" s="17"/>
      <c r="G4" s="17" t="s">
        <v>183</v>
      </c>
      <c r="H4" s="17" t="s">
        <v>152</v>
      </c>
      <c r="I4" s="17" t="s">
        <v>26</v>
      </c>
      <c r="J4" s="25" t="s">
        <v>28</v>
      </c>
      <c r="K4" s="17" t="s">
        <v>29</v>
      </c>
      <c r="L4" s="17" t="s">
        <v>153</v>
      </c>
      <c r="M4" s="22">
        <v>1026</v>
      </c>
      <c r="N4" s="22">
        <v>1026</v>
      </c>
      <c r="O4" s="17">
        <v>1</v>
      </c>
      <c r="P4" s="17"/>
      <c r="Q4" s="17">
        <v>0</v>
      </c>
      <c r="R4" s="17"/>
      <c r="S4" s="17"/>
      <c r="T4" s="17"/>
      <c r="U4" s="17"/>
      <c r="V4" s="17">
        <v>0</v>
      </c>
      <c r="W4" s="17"/>
      <c r="X4" s="17"/>
      <c r="Y4" s="17"/>
      <c r="Z4" s="17">
        <v>0</v>
      </c>
      <c r="AA4" s="17"/>
      <c r="AB4" s="17"/>
      <c r="AC4" s="22">
        <v>47114.24</v>
      </c>
      <c r="AD4" s="21">
        <v>6124.9</v>
      </c>
      <c r="AE4" s="21">
        <v>53239.14</v>
      </c>
      <c r="AF4" s="17"/>
      <c r="AG4" s="17"/>
      <c r="AH4" s="17"/>
      <c r="AI4" s="22">
        <v>0</v>
      </c>
      <c r="AJ4" s="22">
        <v>0</v>
      </c>
      <c r="AK4" s="22">
        <v>0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 t="s">
        <v>154</v>
      </c>
      <c r="AZ4" s="22">
        <v>34144.3038403681</v>
      </c>
      <c r="BA4" s="22">
        <v>530.193271714536</v>
      </c>
      <c r="BB4" s="22">
        <v>715.517530109499</v>
      </c>
      <c r="BC4" s="22">
        <v>39455.9183435033</v>
      </c>
      <c r="BD4" s="22">
        <v>35390.0146421922</v>
      </c>
      <c r="BE4" s="17" t="s">
        <v>180</v>
      </c>
      <c r="BF4" s="17"/>
      <c r="BG4" s="17" t="s">
        <v>156</v>
      </c>
      <c r="BH4" s="17" t="s">
        <v>157</v>
      </c>
      <c r="BI4" s="17" t="s">
        <v>150</v>
      </c>
      <c r="BJ4" s="17"/>
      <c r="BK4" s="21" t="s">
        <v>181</v>
      </c>
      <c r="BL4" s="17"/>
      <c r="BM4" s="17"/>
      <c r="BN4" s="17"/>
      <c r="BO4" s="17"/>
      <c r="BP4" s="17">
        <v>0.13</v>
      </c>
      <c r="BQ4" s="17"/>
      <c r="BR4" s="17" t="s">
        <v>184</v>
      </c>
      <c r="BS4" s="17"/>
      <c r="BT4" s="17" t="s">
        <v>160</v>
      </c>
      <c r="BU4" s="17" t="s">
        <v>161</v>
      </c>
    </row>
    <row r="5" spans="1:73">
      <c r="A5" s="23"/>
      <c r="B5" t="s">
        <v>175</v>
      </c>
      <c r="C5" s="17">
        <v>187497</v>
      </c>
      <c r="D5" s="17" t="s">
        <v>150</v>
      </c>
      <c r="E5" s="17" t="s">
        <v>183</v>
      </c>
      <c r="F5" s="17"/>
      <c r="G5" s="17" t="s">
        <v>183</v>
      </c>
      <c r="H5" s="17" t="s">
        <v>152</v>
      </c>
      <c r="I5" s="17" t="s">
        <v>26</v>
      </c>
      <c r="J5" s="26" t="s">
        <v>30</v>
      </c>
      <c r="K5" s="17" t="s">
        <v>31</v>
      </c>
      <c r="L5" s="17" t="s">
        <v>153</v>
      </c>
      <c r="M5" s="22">
        <v>1026</v>
      </c>
      <c r="N5" s="22">
        <v>1026</v>
      </c>
      <c r="O5" s="17">
        <v>1</v>
      </c>
      <c r="P5" s="17"/>
      <c r="Q5" s="17">
        <v>0</v>
      </c>
      <c r="R5" s="17"/>
      <c r="S5" s="17"/>
      <c r="T5" s="17"/>
      <c r="U5" s="17"/>
      <c r="V5" s="17">
        <v>0</v>
      </c>
      <c r="W5" s="17"/>
      <c r="X5" s="17"/>
      <c r="Y5" s="17"/>
      <c r="Z5" s="17">
        <v>0</v>
      </c>
      <c r="AA5" s="17"/>
      <c r="AB5" s="17"/>
      <c r="AC5" s="22">
        <v>47114.23</v>
      </c>
      <c r="AD5" s="21">
        <v>6124.91</v>
      </c>
      <c r="AE5" s="21">
        <v>53239.14</v>
      </c>
      <c r="AF5" s="17"/>
      <c r="AG5" s="17"/>
      <c r="AH5" s="17"/>
      <c r="AI5" s="22">
        <v>0</v>
      </c>
      <c r="AJ5" s="22">
        <v>0</v>
      </c>
      <c r="AK5" s="22">
        <v>0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 t="s">
        <v>154</v>
      </c>
      <c r="AZ5" s="22">
        <v>34136.3931801809</v>
      </c>
      <c r="BA5" s="22">
        <v>530.080476059254</v>
      </c>
      <c r="BB5" s="22">
        <v>715.365496411068</v>
      </c>
      <c r="BC5" s="22">
        <v>39446.8008525471</v>
      </c>
      <c r="BD5" s="22">
        <v>35381.8391526511</v>
      </c>
      <c r="BE5" s="17" t="s">
        <v>180</v>
      </c>
      <c r="BF5" s="17"/>
      <c r="BG5" s="17" t="s">
        <v>156</v>
      </c>
      <c r="BH5" s="17" t="s">
        <v>157</v>
      </c>
      <c r="BI5" s="17" t="s">
        <v>150</v>
      </c>
      <c r="BJ5" s="17"/>
      <c r="BK5" s="21" t="s">
        <v>181</v>
      </c>
      <c r="BL5" s="17"/>
      <c r="BM5" s="17"/>
      <c r="BN5" s="17"/>
      <c r="BO5" s="17"/>
      <c r="BP5" s="17">
        <v>0.13</v>
      </c>
      <c r="BQ5" s="17"/>
      <c r="BR5" s="17" t="s">
        <v>184</v>
      </c>
      <c r="BS5" s="17"/>
      <c r="BT5" s="17" t="s">
        <v>160</v>
      </c>
      <c r="BU5" s="17" t="s">
        <v>161</v>
      </c>
    </row>
    <row r="9" spans="2:76">
      <c r="B9" t="s">
        <v>89</v>
      </c>
      <c r="C9" s="20" t="s">
        <v>177</v>
      </c>
      <c r="D9" s="20" t="s">
        <v>81</v>
      </c>
      <c r="E9" s="17" t="s">
        <v>82</v>
      </c>
      <c r="F9" s="17" t="s">
        <v>83</v>
      </c>
      <c r="G9" s="17" t="s">
        <v>84</v>
      </c>
      <c r="H9" s="17" t="s">
        <v>85</v>
      </c>
      <c r="I9" s="17" t="s">
        <v>86</v>
      </c>
      <c r="J9" s="17" t="s">
        <v>87</v>
      </c>
      <c r="K9" s="17" t="s">
        <v>88</v>
      </c>
      <c r="L9" s="17" t="s">
        <v>89</v>
      </c>
      <c r="M9" s="21" t="s">
        <v>90</v>
      </c>
      <c r="N9" s="20" t="s">
        <v>178</v>
      </c>
      <c r="O9" s="17" t="s">
        <v>91</v>
      </c>
      <c r="P9" s="17" t="s">
        <v>92</v>
      </c>
      <c r="Q9" s="17" t="s">
        <v>93</v>
      </c>
      <c r="R9" s="17" t="s">
        <v>94</v>
      </c>
      <c r="S9" s="17" t="s">
        <v>95</v>
      </c>
      <c r="T9" s="17" t="s">
        <v>96</v>
      </c>
      <c r="U9" s="17" t="s">
        <v>97</v>
      </c>
      <c r="V9" s="17" t="s">
        <v>98</v>
      </c>
      <c r="W9" s="17" t="s">
        <v>99</v>
      </c>
      <c r="X9" s="17" t="s">
        <v>100</v>
      </c>
      <c r="Y9" s="17" t="s">
        <v>101</v>
      </c>
      <c r="Z9" s="17" t="s">
        <v>102</v>
      </c>
      <c r="AA9" s="17" t="s">
        <v>103</v>
      </c>
      <c r="AB9" s="17" t="s">
        <v>104</v>
      </c>
      <c r="AC9" s="21" t="s">
        <v>105</v>
      </c>
      <c r="AD9" s="21" t="s">
        <v>106</v>
      </c>
      <c r="AE9" s="21" t="s">
        <v>107</v>
      </c>
      <c r="AF9" s="17" t="s">
        <v>110</v>
      </c>
      <c r="AG9" s="17" t="s">
        <v>111</v>
      </c>
      <c r="AH9" s="17" t="s">
        <v>112</v>
      </c>
      <c r="AI9" s="21" t="s">
        <v>113</v>
      </c>
      <c r="AJ9" s="21" t="s">
        <v>114</v>
      </c>
      <c r="AK9" s="21" t="s">
        <v>115</v>
      </c>
      <c r="AL9" s="17" t="s">
        <v>116</v>
      </c>
      <c r="AM9" s="17" t="s">
        <v>117</v>
      </c>
      <c r="AN9" s="17" t="s">
        <v>118</v>
      </c>
      <c r="AO9" s="17" t="s">
        <v>119</v>
      </c>
      <c r="AP9" s="17" t="s">
        <v>120</v>
      </c>
      <c r="AQ9" s="17" t="s">
        <v>121</v>
      </c>
      <c r="AR9" s="17" t="s">
        <v>122</v>
      </c>
      <c r="AS9" s="17" t="s">
        <v>123</v>
      </c>
      <c r="AT9" s="17" t="s">
        <v>124</v>
      </c>
      <c r="AU9" s="17" t="s">
        <v>125</v>
      </c>
      <c r="AV9" s="17" t="s">
        <v>126</v>
      </c>
      <c r="AW9" s="17" t="s">
        <v>127</v>
      </c>
      <c r="AX9" s="17" t="s">
        <v>128</v>
      </c>
      <c r="AY9" s="17" t="s">
        <v>129</v>
      </c>
      <c r="AZ9" s="21" t="s">
        <v>11</v>
      </c>
      <c r="BA9" s="21" t="s">
        <v>12</v>
      </c>
      <c r="BB9" s="21" t="s">
        <v>13</v>
      </c>
      <c r="BC9" s="21" t="s">
        <v>9</v>
      </c>
      <c r="BD9" s="21" t="s">
        <v>10</v>
      </c>
      <c r="BE9" s="17" t="s">
        <v>130</v>
      </c>
      <c r="BF9" s="17" t="s">
        <v>131</v>
      </c>
      <c r="BG9" s="17" t="s">
        <v>132</v>
      </c>
      <c r="BH9" s="17" t="s">
        <v>133</v>
      </c>
      <c r="BI9" s="17" t="s">
        <v>134</v>
      </c>
      <c r="BJ9" s="17" t="s">
        <v>135</v>
      </c>
      <c r="BK9" s="21" t="s">
        <v>136</v>
      </c>
      <c r="BL9" s="17" t="s">
        <v>137</v>
      </c>
      <c r="BM9" s="17" t="s">
        <v>138</v>
      </c>
      <c r="BN9" s="17" t="s">
        <v>139</v>
      </c>
      <c r="BO9" s="17" t="s">
        <v>140</v>
      </c>
      <c r="BP9" s="17" t="s">
        <v>141</v>
      </c>
      <c r="BQ9" s="17" t="s">
        <v>142</v>
      </c>
      <c r="BR9" s="17" t="s">
        <v>143</v>
      </c>
      <c r="BS9" s="17" t="s">
        <v>144</v>
      </c>
      <c r="BT9" s="17" t="s">
        <v>145</v>
      </c>
      <c r="BU9" s="17" t="s">
        <v>146</v>
      </c>
      <c r="BV9" s="19" t="s">
        <v>147</v>
      </c>
      <c r="BW9" s="19" t="s">
        <v>148</v>
      </c>
      <c r="BX9" s="19" t="s">
        <v>149</v>
      </c>
    </row>
    <row r="10" spans="2:76">
      <c r="B10" t="s">
        <v>185</v>
      </c>
      <c r="C10" s="17"/>
      <c r="D10" s="17" t="s">
        <v>150</v>
      </c>
      <c r="E10" s="17" t="s">
        <v>179</v>
      </c>
      <c r="F10" s="17"/>
      <c r="G10" s="17" t="s">
        <v>179</v>
      </c>
      <c r="H10" s="17" t="s">
        <v>152</v>
      </c>
      <c r="I10" s="17" t="s">
        <v>26</v>
      </c>
      <c r="J10" s="26" t="s">
        <v>30</v>
      </c>
      <c r="K10" s="17" t="s">
        <v>31</v>
      </c>
      <c r="L10" s="17" t="s">
        <v>153</v>
      </c>
      <c r="M10" s="22">
        <v>2016</v>
      </c>
      <c r="N10" s="22">
        <v>2016</v>
      </c>
      <c r="O10" s="17">
        <v>1</v>
      </c>
      <c r="P10" s="17"/>
      <c r="Q10" s="17">
        <v>0</v>
      </c>
      <c r="R10" s="17"/>
      <c r="S10" s="17"/>
      <c r="T10" s="17"/>
      <c r="U10" s="17"/>
      <c r="V10" s="17">
        <v>0</v>
      </c>
      <c r="W10" s="17"/>
      <c r="X10" s="17"/>
      <c r="Y10" s="17"/>
      <c r="Z10" s="17">
        <v>0</v>
      </c>
      <c r="AA10" s="17"/>
      <c r="AB10" s="17"/>
      <c r="AC10" s="22">
        <v>92575.33</v>
      </c>
      <c r="AD10" s="21">
        <v>12034.91</v>
      </c>
      <c r="AE10" s="21">
        <v>104610.24</v>
      </c>
      <c r="AF10" s="17"/>
      <c r="AG10" s="17"/>
      <c r="AH10" s="17"/>
      <c r="AI10" s="22">
        <v>0</v>
      </c>
      <c r="AJ10" s="22">
        <v>0</v>
      </c>
      <c r="AK10" s="22">
        <v>0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 t="s">
        <v>154</v>
      </c>
      <c r="AZ10" s="22">
        <v>67075.018178601</v>
      </c>
      <c r="BA10" s="22">
        <v>1041.56163716906</v>
      </c>
      <c r="BB10" s="22">
        <v>1405.63044908841</v>
      </c>
      <c r="BC10" s="22">
        <v>77509.5034295663</v>
      </c>
      <c r="BD10" s="22">
        <v>69522.2102648582</v>
      </c>
      <c r="BE10" s="17" t="s">
        <v>180</v>
      </c>
      <c r="BF10" s="17"/>
      <c r="BG10" s="17" t="s">
        <v>156</v>
      </c>
      <c r="BH10" s="17" t="s">
        <v>157</v>
      </c>
      <c r="BI10" s="17" t="s">
        <v>150</v>
      </c>
      <c r="BJ10" s="17"/>
      <c r="BK10" s="21" t="s">
        <v>181</v>
      </c>
      <c r="BL10" s="17"/>
      <c r="BM10" s="17"/>
      <c r="BN10" s="17"/>
      <c r="BO10" s="17"/>
      <c r="BP10" s="17">
        <v>0.13</v>
      </c>
      <c r="BQ10" s="17"/>
      <c r="BR10" s="17" t="s">
        <v>182</v>
      </c>
      <c r="BS10" s="17"/>
      <c r="BT10" s="17" t="s">
        <v>160</v>
      </c>
      <c r="BU10" s="17" t="s">
        <v>161</v>
      </c>
      <c r="BX10" t="s">
        <v>185</v>
      </c>
    </row>
    <row r="11" spans="2:76">
      <c r="B11" t="s">
        <v>185</v>
      </c>
      <c r="D11" s="17" t="s">
        <v>150</v>
      </c>
      <c r="E11" s="17" t="s">
        <v>183</v>
      </c>
      <c r="F11" s="17"/>
      <c r="G11" s="17" t="s">
        <v>183</v>
      </c>
      <c r="H11" s="17" t="s">
        <v>152</v>
      </c>
      <c r="I11" s="17" t="s">
        <v>26</v>
      </c>
      <c r="J11" s="26" t="s">
        <v>30</v>
      </c>
      <c r="K11" s="17" t="s">
        <v>31</v>
      </c>
      <c r="L11" s="17" t="s">
        <v>153</v>
      </c>
      <c r="M11">
        <v>210</v>
      </c>
      <c r="N11">
        <v>210</v>
      </c>
      <c r="O11">
        <v>1</v>
      </c>
      <c r="AC11">
        <v>9643.26</v>
      </c>
      <c r="AD11">
        <v>1253.64</v>
      </c>
      <c r="AE11">
        <v>10896.9</v>
      </c>
      <c r="AZ11">
        <v>6986.98106027094</v>
      </c>
      <c r="BA11">
        <v>108.496003871777</v>
      </c>
      <c r="BB11">
        <v>146.41983844671</v>
      </c>
      <c r="BC11">
        <v>8073.90660724648</v>
      </c>
      <c r="BD11">
        <v>7241.89690258941</v>
      </c>
      <c r="BE11" s="17" t="s">
        <v>180</v>
      </c>
      <c r="BF11" s="17"/>
      <c r="BG11" s="17" t="s">
        <v>156</v>
      </c>
      <c r="BH11" s="17" t="s">
        <v>157</v>
      </c>
      <c r="BI11" s="17" t="s">
        <v>150</v>
      </c>
      <c r="BJ11" s="17"/>
      <c r="BK11" s="21" t="s">
        <v>181</v>
      </c>
      <c r="BP11" s="17">
        <v>0.13</v>
      </c>
      <c r="BQ11" s="17"/>
      <c r="BR11" s="17" t="s">
        <v>182</v>
      </c>
      <c r="BS11" s="17"/>
      <c r="BT11" s="17" t="s">
        <v>160</v>
      </c>
      <c r="BU11" s="17" t="s">
        <v>161</v>
      </c>
      <c r="BX11" t="s">
        <v>185</v>
      </c>
    </row>
    <row r="12" spans="2:76">
      <c r="B12" t="s">
        <v>186</v>
      </c>
      <c r="D12" s="17" t="s">
        <v>150</v>
      </c>
      <c r="E12" s="17" t="s">
        <v>183</v>
      </c>
      <c r="F12" s="17"/>
      <c r="G12" s="17" t="s">
        <v>183</v>
      </c>
      <c r="H12" s="17" t="s">
        <v>152</v>
      </c>
      <c r="I12" s="17" t="s">
        <v>26</v>
      </c>
      <c r="J12" s="26" t="s">
        <v>30</v>
      </c>
      <c r="K12" s="17" t="s">
        <v>31</v>
      </c>
      <c r="L12" s="17" t="s">
        <v>153</v>
      </c>
      <c r="M12">
        <v>816</v>
      </c>
      <c r="N12">
        <v>816</v>
      </c>
      <c r="O12">
        <v>1</v>
      </c>
      <c r="AC12">
        <v>37470.97</v>
      </c>
      <c r="AD12">
        <v>4871.27</v>
      </c>
      <c r="AE12">
        <v>42342.24</v>
      </c>
      <c r="AZ12">
        <v>27149.41211991</v>
      </c>
      <c r="BA12">
        <v>421.584472187477</v>
      </c>
      <c r="BB12">
        <v>568.945657964358</v>
      </c>
      <c r="BC12">
        <v>31372.8942453006</v>
      </c>
      <c r="BD12">
        <v>28139.9422500617</v>
      </c>
      <c r="BE12" s="17" t="s">
        <v>180</v>
      </c>
      <c r="BF12" s="17"/>
      <c r="BG12" s="17" t="s">
        <v>156</v>
      </c>
      <c r="BH12" s="17" t="s">
        <v>157</v>
      </c>
      <c r="BI12" s="17" t="s">
        <v>150</v>
      </c>
      <c r="BJ12" s="17"/>
      <c r="BK12" s="21" t="s">
        <v>181</v>
      </c>
      <c r="BP12" s="17">
        <v>0.13</v>
      </c>
      <c r="BQ12" s="17"/>
      <c r="BR12" s="17" t="s">
        <v>184</v>
      </c>
      <c r="BS12" s="17"/>
      <c r="BT12" s="17" t="s">
        <v>160</v>
      </c>
      <c r="BU12" s="17" t="s">
        <v>161</v>
      </c>
      <c r="BV12">
        <v>69214</v>
      </c>
      <c r="BW12" t="s">
        <v>187</v>
      </c>
      <c r="BX12" t="s">
        <v>188</v>
      </c>
    </row>
    <row r="13" spans="2:76">
      <c r="B13" t="s">
        <v>185</v>
      </c>
      <c r="C13" s="17"/>
      <c r="D13" s="17" t="s">
        <v>150</v>
      </c>
      <c r="E13" s="17" t="s">
        <v>179</v>
      </c>
      <c r="F13" s="17"/>
      <c r="G13" s="17" t="s">
        <v>179</v>
      </c>
      <c r="H13" s="17" t="s">
        <v>152</v>
      </c>
      <c r="I13" s="17" t="s">
        <v>26</v>
      </c>
      <c r="J13" s="25" t="s">
        <v>28</v>
      </c>
      <c r="K13" s="17" t="s">
        <v>29</v>
      </c>
      <c r="L13" s="17" t="s">
        <v>153</v>
      </c>
      <c r="M13" s="22">
        <v>2016</v>
      </c>
      <c r="N13" s="22">
        <v>2016</v>
      </c>
      <c r="O13" s="17">
        <v>1</v>
      </c>
      <c r="P13" s="17"/>
      <c r="Q13" s="17">
        <v>0</v>
      </c>
      <c r="R13" s="17"/>
      <c r="S13" s="17"/>
      <c r="T13" s="17"/>
      <c r="U13" s="17"/>
      <c r="V13" s="17">
        <v>0</v>
      </c>
      <c r="W13" s="17"/>
      <c r="X13" s="17"/>
      <c r="Y13" s="17"/>
      <c r="Z13" s="17">
        <v>0</v>
      </c>
      <c r="AA13" s="17"/>
      <c r="AB13" s="17"/>
      <c r="AC13" s="22">
        <v>92575.35</v>
      </c>
      <c r="AD13" s="21">
        <v>12034.89</v>
      </c>
      <c r="AE13" s="21">
        <v>104610.24</v>
      </c>
      <c r="AF13" s="17"/>
      <c r="AG13" s="17"/>
      <c r="AH13" s="17"/>
      <c r="AI13" s="22">
        <v>0</v>
      </c>
      <c r="AJ13" s="22">
        <v>0</v>
      </c>
      <c r="AK13" s="22">
        <v>0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 t="s">
        <v>154</v>
      </c>
      <c r="AZ13" s="22">
        <v>67090.5619319513</v>
      </c>
      <c r="BA13" s="22">
        <v>1041.78327073733</v>
      </c>
      <c r="BB13" s="22">
        <v>1405.92918196954</v>
      </c>
      <c r="BC13" s="22">
        <v>77527.4184995152</v>
      </c>
      <c r="BD13" s="22">
        <v>69538.2743846583</v>
      </c>
      <c r="BE13" s="17" t="s">
        <v>180</v>
      </c>
      <c r="BF13" s="17"/>
      <c r="BG13" s="17" t="s">
        <v>156</v>
      </c>
      <c r="BH13" s="17" t="s">
        <v>157</v>
      </c>
      <c r="BI13" s="17" t="s">
        <v>150</v>
      </c>
      <c r="BJ13" s="17"/>
      <c r="BK13" s="21" t="s">
        <v>181</v>
      </c>
      <c r="BL13" s="17"/>
      <c r="BM13" s="17"/>
      <c r="BN13" s="17"/>
      <c r="BO13" s="17"/>
      <c r="BP13" s="17">
        <v>0.13</v>
      </c>
      <c r="BQ13" s="17"/>
      <c r="BR13" s="17" t="s">
        <v>182</v>
      </c>
      <c r="BS13" s="17"/>
      <c r="BT13" s="17" t="s">
        <v>160</v>
      </c>
      <c r="BU13" s="17" t="s">
        <v>161</v>
      </c>
      <c r="BX13" t="s">
        <v>185</v>
      </c>
    </row>
    <row r="14" customFormat="1" spans="2:76">
      <c r="B14" t="s">
        <v>185</v>
      </c>
      <c r="D14" s="17" t="s">
        <v>150</v>
      </c>
      <c r="E14" s="17" t="s">
        <v>183</v>
      </c>
      <c r="F14" s="17"/>
      <c r="G14" s="17" t="s">
        <v>183</v>
      </c>
      <c r="H14" s="17" t="s">
        <v>152</v>
      </c>
      <c r="I14" s="17" t="s">
        <v>26</v>
      </c>
      <c r="J14" s="25" t="s">
        <v>28</v>
      </c>
      <c r="K14" s="17" t="s">
        <v>29</v>
      </c>
      <c r="L14" s="17" t="s">
        <v>153</v>
      </c>
      <c r="M14">
        <v>720</v>
      </c>
      <c r="N14">
        <v>720</v>
      </c>
      <c r="O14">
        <v>1</v>
      </c>
      <c r="AC14">
        <v>33062.62</v>
      </c>
      <c r="AD14">
        <v>4298.18</v>
      </c>
      <c r="AE14">
        <v>37360.8</v>
      </c>
      <c r="AZ14">
        <v>23960.9149756969</v>
      </c>
      <c r="BA14">
        <v>372.065453834762</v>
      </c>
      <c r="BB14">
        <v>502.117564989122</v>
      </c>
      <c r="BC14">
        <v>27688.3637498269</v>
      </c>
      <c r="BD14">
        <v>24835.0979945208</v>
      </c>
      <c r="BE14" s="17" t="s">
        <v>180</v>
      </c>
      <c r="BF14" s="17"/>
      <c r="BG14" s="17" t="s">
        <v>156</v>
      </c>
      <c r="BH14" s="17" t="s">
        <v>157</v>
      </c>
      <c r="BI14" s="17" t="s">
        <v>150</v>
      </c>
      <c r="BJ14" s="17"/>
      <c r="BK14" s="21" t="s">
        <v>181</v>
      </c>
      <c r="BL14" s="17"/>
      <c r="BM14" s="17"/>
      <c r="BN14" s="17"/>
      <c r="BO14" s="17"/>
      <c r="BP14" s="17">
        <v>0.13</v>
      </c>
      <c r="BQ14" s="17"/>
      <c r="BR14" s="17" t="s">
        <v>184</v>
      </c>
      <c r="BS14" s="17"/>
      <c r="BT14" s="17" t="s">
        <v>160</v>
      </c>
      <c r="BU14" s="17" t="s">
        <v>161</v>
      </c>
      <c r="BX14" t="s">
        <v>185</v>
      </c>
    </row>
    <row r="15" customFormat="1" spans="2:76">
      <c r="B15" t="s">
        <v>186</v>
      </c>
      <c r="D15" s="17" t="s">
        <v>150</v>
      </c>
      <c r="E15" s="17" t="s">
        <v>183</v>
      </c>
      <c r="F15" s="17"/>
      <c r="G15" s="17" t="s">
        <v>183</v>
      </c>
      <c r="H15" s="17" t="s">
        <v>152</v>
      </c>
      <c r="I15" s="17" t="s">
        <v>26</v>
      </c>
      <c r="J15" s="25" t="s">
        <v>28</v>
      </c>
      <c r="K15" s="17" t="s">
        <v>29</v>
      </c>
      <c r="L15" s="17" t="s">
        <v>153</v>
      </c>
      <c r="M15">
        <v>306</v>
      </c>
      <c r="N15">
        <v>306</v>
      </c>
      <c r="O15">
        <v>1</v>
      </c>
      <c r="AC15">
        <v>14051.62</v>
      </c>
      <c r="AD15">
        <v>1826.72</v>
      </c>
      <c r="AE15">
        <v>15878.34</v>
      </c>
      <c r="AZ15">
        <v>10183.3888646712</v>
      </c>
      <c r="BA15">
        <v>158.127817879774</v>
      </c>
      <c r="BB15">
        <v>213.399965120377</v>
      </c>
      <c r="BC15">
        <v>11767.5545936764</v>
      </c>
      <c r="BD15">
        <v>10554.9166476714</v>
      </c>
      <c r="BE15" s="17" t="s">
        <v>180</v>
      </c>
      <c r="BF15" s="17"/>
      <c r="BG15" s="17" t="s">
        <v>156</v>
      </c>
      <c r="BH15" s="17" t="s">
        <v>157</v>
      </c>
      <c r="BI15" s="17" t="s">
        <v>150</v>
      </c>
      <c r="BJ15" s="17"/>
      <c r="BK15" s="21">
        <v>202401</v>
      </c>
      <c r="BL15" s="17"/>
      <c r="BM15" s="17"/>
      <c r="BN15" s="17"/>
      <c r="BO15" s="17"/>
      <c r="BP15" s="17">
        <v>0.13</v>
      </c>
      <c r="BQ15" s="17"/>
      <c r="BR15" s="17" t="s">
        <v>184</v>
      </c>
      <c r="BS15" s="17"/>
      <c r="BT15" s="17" t="s">
        <v>160</v>
      </c>
      <c r="BU15" s="17" t="s">
        <v>161</v>
      </c>
      <c r="BV15">
        <v>25709.47</v>
      </c>
      <c r="BW15" t="s">
        <v>187</v>
      </c>
      <c r="BX15" t="s">
        <v>188</v>
      </c>
    </row>
    <row r="16" spans="2:76">
      <c r="B16" s="24" t="s">
        <v>189</v>
      </c>
      <c r="D16" s="17" t="s">
        <v>150</v>
      </c>
      <c r="I16" s="27" t="s">
        <v>26</v>
      </c>
      <c r="J16" s="24" t="s">
        <v>28</v>
      </c>
      <c r="K16" s="24" t="s">
        <v>29</v>
      </c>
      <c r="L16" s="17" t="s">
        <v>153</v>
      </c>
      <c r="M16" s="24">
        <v>360</v>
      </c>
      <c r="N16" s="24">
        <v>360</v>
      </c>
      <c r="O16">
        <v>1</v>
      </c>
      <c r="AC16" s="24">
        <v>16531.33</v>
      </c>
      <c r="AD16" s="24">
        <v>2149.07</v>
      </c>
      <c r="AE16" s="24">
        <v>18680.4</v>
      </c>
      <c r="AZ16" s="24">
        <v>11806.859823678</v>
      </c>
      <c r="BA16" s="24">
        <v>227.970084420535</v>
      </c>
      <c r="BB16" s="24">
        <v>476.713876898947</v>
      </c>
      <c r="BC16" s="24">
        <v>13833.2088440596</v>
      </c>
      <c r="BD16" s="24">
        <v>12511.5437849975</v>
      </c>
      <c r="BG16" s="17" t="s">
        <v>156</v>
      </c>
      <c r="BH16" s="17" t="s">
        <v>157</v>
      </c>
      <c r="BI16" s="17" t="s">
        <v>150</v>
      </c>
      <c r="BK16">
        <v>202312</v>
      </c>
      <c r="BP16" s="17">
        <v>0.13</v>
      </c>
      <c r="BV16">
        <v>30246.44</v>
      </c>
      <c r="BW16" t="s">
        <v>190</v>
      </c>
      <c r="BX16" t="s">
        <v>188</v>
      </c>
    </row>
    <row r="17" spans="2:76">
      <c r="B17" s="24" t="s">
        <v>189</v>
      </c>
      <c r="D17" s="17" t="s">
        <v>150</v>
      </c>
      <c r="I17" s="27" t="s">
        <v>26</v>
      </c>
      <c r="J17" s="24" t="s">
        <v>28</v>
      </c>
      <c r="K17" s="24" t="s">
        <v>29</v>
      </c>
      <c r="L17" s="17" t="s">
        <v>153</v>
      </c>
      <c r="M17" s="24">
        <v>144</v>
      </c>
      <c r="N17" s="24">
        <v>144</v>
      </c>
      <c r="O17">
        <v>1</v>
      </c>
      <c r="AC17" s="24">
        <v>6612.53</v>
      </c>
      <c r="AD17" s="24">
        <v>859.63</v>
      </c>
      <c r="AE17" s="24">
        <v>7472.16</v>
      </c>
      <c r="AZ17" s="24">
        <v>4722.74392947121</v>
      </c>
      <c r="BA17" s="24">
        <v>91.1880337682141</v>
      </c>
      <c r="BB17" s="24">
        <v>190.685550759579</v>
      </c>
      <c r="BC17" s="24">
        <v>5533.28353762384</v>
      </c>
      <c r="BD17" s="24">
        <v>5004.61751399902</v>
      </c>
      <c r="BG17" s="17" t="s">
        <v>156</v>
      </c>
      <c r="BH17" s="17" t="s">
        <v>157</v>
      </c>
      <c r="BI17" s="17" t="s">
        <v>150</v>
      </c>
      <c r="BK17">
        <v>202312</v>
      </c>
      <c r="BP17" s="17">
        <v>0.13</v>
      </c>
      <c r="BV17">
        <v>12098.57</v>
      </c>
      <c r="BW17" t="s">
        <v>190</v>
      </c>
      <c r="BX17" t="s">
        <v>188</v>
      </c>
    </row>
    <row r="18" spans="2:76">
      <c r="B18" s="24" t="s">
        <v>189</v>
      </c>
      <c r="D18" s="17" t="s">
        <v>150</v>
      </c>
      <c r="I18" s="27" t="s">
        <v>26</v>
      </c>
      <c r="J18" s="24" t="s">
        <v>30</v>
      </c>
      <c r="K18" s="24" t="s">
        <v>31</v>
      </c>
      <c r="L18" s="17" t="s">
        <v>153</v>
      </c>
      <c r="M18" s="24">
        <v>504</v>
      </c>
      <c r="N18" s="24">
        <v>504</v>
      </c>
      <c r="O18">
        <v>1</v>
      </c>
      <c r="AC18" s="24">
        <v>23143.86</v>
      </c>
      <c r="AD18" s="24">
        <v>3008.7</v>
      </c>
      <c r="AE18" s="24">
        <v>26152.56</v>
      </c>
      <c r="AZ18" s="24">
        <v>16491.9357912962</v>
      </c>
      <c r="BA18" s="24">
        <v>319.148060214223</v>
      </c>
      <c r="BB18" s="24">
        <v>667.379178383967</v>
      </c>
      <c r="BC18" s="24">
        <v>19324.6225634167</v>
      </c>
      <c r="BD18" s="24">
        <v>17478.4630298944</v>
      </c>
      <c r="BG18" s="17" t="s">
        <v>156</v>
      </c>
      <c r="BH18" s="17" t="s">
        <v>157</v>
      </c>
      <c r="BI18" s="17" t="s">
        <v>150</v>
      </c>
      <c r="BK18">
        <v>202312</v>
      </c>
      <c r="BP18" s="17">
        <v>0.13</v>
      </c>
      <c r="BV18">
        <v>42749.16</v>
      </c>
      <c r="BW18" t="s">
        <v>190</v>
      </c>
      <c r="BX18" t="s">
        <v>188</v>
      </c>
    </row>
    <row r="19" spans="4:68">
      <c r="D19" s="17"/>
      <c r="I19" s="17"/>
      <c r="L19" s="17"/>
      <c r="BG19" s="17"/>
      <c r="BH19" s="17"/>
      <c r="BI19" s="17"/>
      <c r="BP19" s="17"/>
    </row>
    <row r="20" spans="2:68">
      <c r="B20" t="s">
        <v>89</v>
      </c>
      <c r="C20" t="s">
        <v>185</v>
      </c>
      <c r="D20" s="17"/>
      <c r="I20" s="17"/>
      <c r="L20" s="17"/>
      <c r="BG20" s="17"/>
      <c r="BH20" s="17"/>
      <c r="BI20" s="17"/>
      <c r="BP20" s="17"/>
    </row>
    <row r="21" spans="4:68">
      <c r="D21" s="17"/>
      <c r="I21" s="17"/>
      <c r="L21" s="17"/>
      <c r="BG21" s="17"/>
      <c r="BH21" s="17"/>
      <c r="BI21" s="17"/>
      <c r="BP21" s="17"/>
    </row>
    <row r="22" spans="2:11">
      <c r="B22" t="s">
        <v>87</v>
      </c>
      <c r="C22" t="s">
        <v>191</v>
      </c>
      <c r="D22" t="s">
        <v>168</v>
      </c>
      <c r="E22" t="s">
        <v>169</v>
      </c>
      <c r="F22" t="s">
        <v>170</v>
      </c>
      <c r="G22" t="s">
        <v>192</v>
      </c>
      <c r="H22" t="s">
        <v>193</v>
      </c>
      <c r="I22" t="s">
        <v>194</v>
      </c>
      <c r="J22" t="s">
        <v>195</v>
      </c>
      <c r="K22" t="s">
        <v>196</v>
      </c>
    </row>
    <row r="23" spans="2:11">
      <c r="B23" t="s">
        <v>28</v>
      </c>
      <c r="C23">
        <v>2736</v>
      </c>
      <c r="D23">
        <v>125637.97</v>
      </c>
      <c r="E23">
        <v>16333.07</v>
      </c>
      <c r="F23">
        <v>141971.04</v>
      </c>
      <c r="G23">
        <v>105215.782249342</v>
      </c>
      <c r="H23">
        <v>94373.3723791791</v>
      </c>
      <c r="I23">
        <v>91051.4769076482</v>
      </c>
      <c r="J23">
        <v>1413.84872457209</v>
      </c>
      <c r="K23">
        <v>1908.04674695866</v>
      </c>
    </row>
    <row r="24" spans="2:11">
      <c r="B24" t="s">
        <v>30</v>
      </c>
      <c r="C24">
        <v>2226</v>
      </c>
      <c r="D24">
        <v>102218.59</v>
      </c>
      <c r="E24">
        <v>13288.55</v>
      </c>
      <c r="F24">
        <v>115507.14</v>
      </c>
      <c r="G24">
        <v>85583.4100368128</v>
      </c>
      <c r="H24">
        <v>76764.1071674476</v>
      </c>
      <c r="I24">
        <v>74061.999238872</v>
      </c>
      <c r="J24">
        <v>1150.05764104084</v>
      </c>
      <c r="K24">
        <v>1552.05028753512</v>
      </c>
    </row>
    <row r="25" spans="2:11">
      <c r="B25" t="s">
        <v>171</v>
      </c>
      <c r="C25">
        <v>4962</v>
      </c>
      <c r="D25">
        <v>227856.56</v>
      </c>
      <c r="E25">
        <v>29621.62</v>
      </c>
      <c r="F25">
        <v>257478.18</v>
      </c>
      <c r="G25">
        <v>190799.192286155</v>
      </c>
      <c r="H25">
        <v>171137.479546627</v>
      </c>
      <c r="I25">
        <v>165113.47614652</v>
      </c>
      <c r="J25">
        <v>2563.90636561293</v>
      </c>
      <c r="K25">
        <v>3460.09703449378</v>
      </c>
    </row>
  </sheetData>
  <mergeCells count="1">
    <mergeCell ref="A1:A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75"/>
  <sheetViews>
    <sheetView workbookViewId="0">
      <pane xSplit="7" ySplit="7" topLeftCell="H43" activePane="bottomRight" state="frozen"/>
      <selection/>
      <selection pane="topRight"/>
      <selection pane="bottomLeft"/>
      <selection pane="bottomRight" activeCell="D60" sqref="D60"/>
    </sheetView>
  </sheetViews>
  <sheetFormatPr defaultColWidth="9" defaultRowHeight="13.5"/>
  <cols>
    <col min="1" max="1" width="14.875"/>
    <col min="2" max="10" width="22.375"/>
    <col min="27" max="27" width="10.375"/>
    <col min="29" max="29" width="10.375"/>
    <col min="50" max="54" width="12.625"/>
    <col min="72" max="72" width="12.875" customWidth="1"/>
    <col min="73" max="73" width="19.375" customWidth="1"/>
  </cols>
  <sheetData>
    <row r="1" spans="1:74">
      <c r="A1" s="20" t="s">
        <v>177</v>
      </c>
      <c r="B1" s="20" t="s">
        <v>81</v>
      </c>
      <c r="C1" s="17" t="s">
        <v>82</v>
      </c>
      <c r="D1" s="17" t="s">
        <v>83</v>
      </c>
      <c r="E1" s="17" t="s">
        <v>84</v>
      </c>
      <c r="F1" s="17" t="s">
        <v>85</v>
      </c>
      <c r="G1" s="17" t="s">
        <v>86</v>
      </c>
      <c r="H1" s="17" t="s">
        <v>87</v>
      </c>
      <c r="I1" s="17" t="s">
        <v>88</v>
      </c>
      <c r="J1" s="17" t="s">
        <v>89</v>
      </c>
      <c r="K1" s="21" t="s">
        <v>90</v>
      </c>
      <c r="L1" s="20" t="s">
        <v>178</v>
      </c>
      <c r="M1" s="17" t="s">
        <v>91</v>
      </c>
      <c r="N1" s="17" t="s">
        <v>92</v>
      </c>
      <c r="O1" s="17" t="s">
        <v>93</v>
      </c>
      <c r="P1" s="17" t="s">
        <v>94</v>
      </c>
      <c r="Q1" s="17" t="s">
        <v>95</v>
      </c>
      <c r="R1" s="17" t="s">
        <v>96</v>
      </c>
      <c r="S1" s="17" t="s">
        <v>97</v>
      </c>
      <c r="T1" s="17" t="s">
        <v>98</v>
      </c>
      <c r="U1" s="17" t="s">
        <v>99</v>
      </c>
      <c r="V1" s="17" t="s">
        <v>100</v>
      </c>
      <c r="W1" s="17" t="s">
        <v>101</v>
      </c>
      <c r="X1" s="17" t="s">
        <v>102</v>
      </c>
      <c r="Y1" s="17" t="s">
        <v>103</v>
      </c>
      <c r="Z1" s="17" t="s">
        <v>104</v>
      </c>
      <c r="AA1" s="21" t="s">
        <v>105</v>
      </c>
      <c r="AB1" s="21" t="s">
        <v>106</v>
      </c>
      <c r="AC1" s="21" t="s">
        <v>107</v>
      </c>
      <c r="AD1" s="17" t="s">
        <v>110</v>
      </c>
      <c r="AE1" s="17" t="s">
        <v>111</v>
      </c>
      <c r="AF1" s="17" t="s">
        <v>112</v>
      </c>
      <c r="AG1" s="21" t="s">
        <v>113</v>
      </c>
      <c r="AH1" s="21" t="s">
        <v>114</v>
      </c>
      <c r="AI1" s="21" t="s">
        <v>115</v>
      </c>
      <c r="AJ1" s="17" t="s">
        <v>116</v>
      </c>
      <c r="AK1" s="17" t="s">
        <v>117</v>
      </c>
      <c r="AL1" s="17" t="s">
        <v>118</v>
      </c>
      <c r="AM1" s="17" t="s">
        <v>119</v>
      </c>
      <c r="AN1" s="17" t="s">
        <v>120</v>
      </c>
      <c r="AO1" s="17" t="s">
        <v>121</v>
      </c>
      <c r="AP1" s="17" t="s">
        <v>122</v>
      </c>
      <c r="AQ1" s="17" t="s">
        <v>123</v>
      </c>
      <c r="AR1" s="17" t="s">
        <v>124</v>
      </c>
      <c r="AS1" s="17" t="s">
        <v>125</v>
      </c>
      <c r="AT1" s="17" t="s">
        <v>126</v>
      </c>
      <c r="AU1" s="17" t="s">
        <v>127</v>
      </c>
      <c r="AV1" s="17" t="s">
        <v>128</v>
      </c>
      <c r="AW1" s="17" t="s">
        <v>129</v>
      </c>
      <c r="AX1" s="21" t="s">
        <v>11</v>
      </c>
      <c r="AY1" s="21" t="s">
        <v>12</v>
      </c>
      <c r="AZ1" s="21" t="s">
        <v>13</v>
      </c>
      <c r="BA1" s="21" t="s">
        <v>9</v>
      </c>
      <c r="BB1" s="21" t="s">
        <v>10</v>
      </c>
      <c r="BC1" s="17" t="s">
        <v>130</v>
      </c>
      <c r="BD1" s="17" t="s">
        <v>131</v>
      </c>
      <c r="BE1" s="17" t="s">
        <v>132</v>
      </c>
      <c r="BF1" s="17" t="s">
        <v>133</v>
      </c>
      <c r="BG1" s="17" t="s">
        <v>134</v>
      </c>
      <c r="BH1" s="17" t="s">
        <v>135</v>
      </c>
      <c r="BI1" s="21" t="s">
        <v>136</v>
      </c>
      <c r="BJ1" s="17" t="s">
        <v>137</v>
      </c>
      <c r="BK1" s="17" t="s">
        <v>138</v>
      </c>
      <c r="BL1" s="17" t="s">
        <v>139</v>
      </c>
      <c r="BM1" s="17" t="s">
        <v>140</v>
      </c>
      <c r="BN1" s="17" t="s">
        <v>141</v>
      </c>
      <c r="BO1" s="17" t="s">
        <v>142</v>
      </c>
      <c r="BP1" s="17" t="s">
        <v>143</v>
      </c>
      <c r="BQ1" s="17" t="s">
        <v>144</v>
      </c>
      <c r="BR1" s="17" t="s">
        <v>145</v>
      </c>
      <c r="BS1" s="17" t="s">
        <v>146</v>
      </c>
      <c r="BT1" t="s">
        <v>197</v>
      </c>
      <c r="BU1" t="s">
        <v>198</v>
      </c>
      <c r="BV1" t="s">
        <v>149</v>
      </c>
    </row>
    <row r="2" spans="1:74">
      <c r="A2" s="17">
        <v>159542</v>
      </c>
      <c r="B2" s="17" t="s">
        <v>150</v>
      </c>
      <c r="C2" s="17" t="s">
        <v>199</v>
      </c>
      <c r="D2" s="17"/>
      <c r="E2" s="17" t="s">
        <v>199</v>
      </c>
      <c r="F2" s="17" t="s">
        <v>152</v>
      </c>
      <c r="G2" s="17" t="s">
        <v>19</v>
      </c>
      <c r="H2" s="17" t="s">
        <v>28</v>
      </c>
      <c r="I2" s="17" t="s">
        <v>29</v>
      </c>
      <c r="J2" s="17" t="s">
        <v>153</v>
      </c>
      <c r="K2" s="22">
        <v>1440</v>
      </c>
      <c r="L2" s="22">
        <v>1440</v>
      </c>
      <c r="M2" s="17">
        <v>1</v>
      </c>
      <c r="N2" s="17"/>
      <c r="O2" s="17">
        <v>0</v>
      </c>
      <c r="P2" s="17"/>
      <c r="Q2" s="17"/>
      <c r="R2" s="17"/>
      <c r="S2" s="17"/>
      <c r="T2" s="17">
        <v>0</v>
      </c>
      <c r="U2" s="17"/>
      <c r="V2" s="17"/>
      <c r="W2" s="17"/>
      <c r="X2" s="17">
        <v>0</v>
      </c>
      <c r="Y2" s="17"/>
      <c r="Z2" s="17"/>
      <c r="AA2" s="22">
        <v>66125.25</v>
      </c>
      <c r="AB2" s="21">
        <v>8596.35000000001</v>
      </c>
      <c r="AC2" s="21">
        <v>74721.6</v>
      </c>
      <c r="AD2" s="17"/>
      <c r="AE2" s="17"/>
      <c r="AF2" s="17"/>
      <c r="AG2" s="22">
        <v>0</v>
      </c>
      <c r="AH2" s="22">
        <v>0</v>
      </c>
      <c r="AI2" s="22">
        <v>0</v>
      </c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 t="s">
        <v>154</v>
      </c>
      <c r="AX2" s="22">
        <v>47921.8299513938</v>
      </c>
      <c r="AY2" s="22">
        <v>744.130907669524</v>
      </c>
      <c r="AZ2" s="22">
        <v>1004.23512997824</v>
      </c>
      <c r="BA2" s="22">
        <v>55376.7274996537</v>
      </c>
      <c r="BB2" s="22">
        <v>49670.1959890417</v>
      </c>
      <c r="BC2" s="17" t="s">
        <v>180</v>
      </c>
      <c r="BD2" s="17"/>
      <c r="BE2" s="17" t="s">
        <v>156</v>
      </c>
      <c r="BF2" s="17" t="s">
        <v>157</v>
      </c>
      <c r="BG2" s="17" t="s">
        <v>150</v>
      </c>
      <c r="BH2" s="17"/>
      <c r="BI2" s="21" t="s">
        <v>181</v>
      </c>
      <c r="BJ2" s="17"/>
      <c r="BK2" s="17"/>
      <c r="BL2" s="17"/>
      <c r="BM2" s="17"/>
      <c r="BN2" s="17">
        <v>0.13</v>
      </c>
      <c r="BO2" s="17"/>
      <c r="BP2" s="17" t="s">
        <v>200</v>
      </c>
      <c r="BQ2" s="17"/>
      <c r="BR2" s="17" t="s">
        <v>160</v>
      </c>
      <c r="BS2" s="17" t="s">
        <v>161</v>
      </c>
      <c r="BT2">
        <v>142560</v>
      </c>
      <c r="BU2" t="s">
        <v>201</v>
      </c>
      <c r="BV2" t="s">
        <v>202</v>
      </c>
    </row>
    <row r="3" spans="1:74">
      <c r="A3" s="17">
        <v>159543</v>
      </c>
      <c r="B3" s="17" t="s">
        <v>150</v>
      </c>
      <c r="C3" s="17" t="s">
        <v>199</v>
      </c>
      <c r="D3" s="17"/>
      <c r="E3" s="17" t="s">
        <v>199</v>
      </c>
      <c r="F3" s="17" t="s">
        <v>152</v>
      </c>
      <c r="G3" s="17" t="s">
        <v>19</v>
      </c>
      <c r="H3" s="17" t="s">
        <v>28</v>
      </c>
      <c r="I3" s="17" t="s">
        <v>29</v>
      </c>
      <c r="J3" s="17" t="s">
        <v>153</v>
      </c>
      <c r="K3" s="22">
        <v>360</v>
      </c>
      <c r="L3" s="22">
        <v>360</v>
      </c>
      <c r="M3" s="17">
        <v>1</v>
      </c>
      <c r="N3" s="17"/>
      <c r="O3" s="17">
        <v>0</v>
      </c>
      <c r="P3" s="17"/>
      <c r="Q3" s="17"/>
      <c r="R3" s="17"/>
      <c r="S3" s="17"/>
      <c r="T3" s="17">
        <v>0</v>
      </c>
      <c r="U3" s="17"/>
      <c r="V3" s="17"/>
      <c r="W3" s="17"/>
      <c r="X3" s="17">
        <v>0</v>
      </c>
      <c r="Y3" s="17"/>
      <c r="Z3" s="17"/>
      <c r="AA3" s="22">
        <v>16531.31</v>
      </c>
      <c r="AB3" s="21">
        <v>2149.09</v>
      </c>
      <c r="AC3" s="21">
        <v>18680.4</v>
      </c>
      <c r="AD3" s="17"/>
      <c r="AE3" s="17"/>
      <c r="AF3" s="17"/>
      <c r="AG3" s="22">
        <v>0</v>
      </c>
      <c r="AH3" s="22">
        <v>0</v>
      </c>
      <c r="AI3" s="22">
        <v>0</v>
      </c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 t="s">
        <v>154</v>
      </c>
      <c r="AX3" s="22">
        <v>11980.4574878484</v>
      </c>
      <c r="AY3" s="22">
        <v>186.032726917381</v>
      </c>
      <c r="AZ3" s="22">
        <v>251.058782494561</v>
      </c>
      <c r="BA3" s="22">
        <v>13844.1818749134</v>
      </c>
      <c r="BB3" s="22">
        <v>12417.5489972604</v>
      </c>
      <c r="BC3" s="17" t="s">
        <v>180</v>
      </c>
      <c r="BD3" s="17"/>
      <c r="BE3" s="17" t="s">
        <v>156</v>
      </c>
      <c r="BF3" s="17" t="s">
        <v>157</v>
      </c>
      <c r="BG3" s="17" t="s">
        <v>150</v>
      </c>
      <c r="BH3" s="17"/>
      <c r="BI3" s="21" t="s">
        <v>181</v>
      </c>
      <c r="BJ3" s="17"/>
      <c r="BK3" s="17"/>
      <c r="BL3" s="17"/>
      <c r="BM3" s="17"/>
      <c r="BN3" s="17">
        <v>0.13</v>
      </c>
      <c r="BO3" s="17"/>
      <c r="BP3" s="17" t="s">
        <v>200</v>
      </c>
      <c r="BQ3" s="17"/>
      <c r="BR3" s="17" t="s">
        <v>160</v>
      </c>
      <c r="BS3" s="17" t="s">
        <v>161</v>
      </c>
      <c r="BT3">
        <v>35640</v>
      </c>
      <c r="BU3" t="s">
        <v>201</v>
      </c>
      <c r="BV3" t="s">
        <v>202</v>
      </c>
    </row>
    <row r="4" spans="1:74">
      <c r="A4" s="17">
        <v>159544</v>
      </c>
      <c r="B4" s="17" t="s">
        <v>150</v>
      </c>
      <c r="C4" s="17" t="s">
        <v>199</v>
      </c>
      <c r="D4" s="17"/>
      <c r="E4" s="17" t="s">
        <v>199</v>
      </c>
      <c r="F4" s="17" t="s">
        <v>152</v>
      </c>
      <c r="G4" s="17" t="s">
        <v>19</v>
      </c>
      <c r="H4" s="17" t="s">
        <v>30</v>
      </c>
      <c r="I4" s="17" t="s">
        <v>31</v>
      </c>
      <c r="J4" s="17" t="s">
        <v>153</v>
      </c>
      <c r="K4" s="22">
        <v>720</v>
      </c>
      <c r="L4" s="22">
        <v>720</v>
      </c>
      <c r="M4" s="17">
        <v>1</v>
      </c>
      <c r="N4" s="17"/>
      <c r="O4" s="17">
        <v>0</v>
      </c>
      <c r="P4" s="17"/>
      <c r="Q4" s="17"/>
      <c r="R4" s="17"/>
      <c r="S4" s="17"/>
      <c r="T4" s="17">
        <v>0</v>
      </c>
      <c r="U4" s="17"/>
      <c r="V4" s="17"/>
      <c r="W4" s="17"/>
      <c r="X4" s="17">
        <v>0</v>
      </c>
      <c r="Y4" s="17"/>
      <c r="Z4" s="17"/>
      <c r="AA4" s="22">
        <v>33062.62</v>
      </c>
      <c r="AB4" s="21">
        <v>4298.18</v>
      </c>
      <c r="AC4" s="21">
        <v>37360.8</v>
      </c>
      <c r="AD4" s="17"/>
      <c r="AE4" s="17"/>
      <c r="AF4" s="17"/>
      <c r="AG4" s="22">
        <v>0</v>
      </c>
      <c r="AH4" s="22">
        <v>0</v>
      </c>
      <c r="AI4" s="22">
        <v>0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 t="s">
        <v>154</v>
      </c>
      <c r="AX4" s="22">
        <v>23955.3636352146</v>
      </c>
      <c r="AY4" s="22">
        <v>371.98629898895</v>
      </c>
      <c r="AZ4" s="22">
        <v>502.010874674433</v>
      </c>
      <c r="BA4" s="22">
        <v>27681.9655105594</v>
      </c>
      <c r="BB4" s="22">
        <v>24829.3608088779</v>
      </c>
      <c r="BC4" s="17" t="s">
        <v>180</v>
      </c>
      <c r="BD4" s="17"/>
      <c r="BE4" s="17" t="s">
        <v>156</v>
      </c>
      <c r="BF4" s="17" t="s">
        <v>157</v>
      </c>
      <c r="BG4" s="17" t="s">
        <v>150</v>
      </c>
      <c r="BH4" s="17"/>
      <c r="BI4" s="21" t="s">
        <v>181</v>
      </c>
      <c r="BJ4" s="17"/>
      <c r="BK4" s="17"/>
      <c r="BL4" s="17"/>
      <c r="BM4" s="17"/>
      <c r="BN4" s="17">
        <v>0.13</v>
      </c>
      <c r="BO4" s="17"/>
      <c r="BP4" s="17" t="s">
        <v>200</v>
      </c>
      <c r="BQ4" s="17"/>
      <c r="BR4" s="17" t="s">
        <v>160</v>
      </c>
      <c r="BS4" s="17" t="s">
        <v>161</v>
      </c>
      <c r="BT4">
        <v>71280</v>
      </c>
      <c r="BU4" t="s">
        <v>201</v>
      </c>
      <c r="BV4" t="s">
        <v>202</v>
      </c>
    </row>
    <row r="5" spans="1:74">
      <c r="A5" s="17">
        <v>159545</v>
      </c>
      <c r="B5" s="17" t="s">
        <v>150</v>
      </c>
      <c r="C5" s="17" t="s">
        <v>199</v>
      </c>
      <c r="D5" s="17"/>
      <c r="E5" s="17" t="s">
        <v>199</v>
      </c>
      <c r="F5" s="17" t="s">
        <v>152</v>
      </c>
      <c r="G5" s="17" t="s">
        <v>19</v>
      </c>
      <c r="H5" s="17" t="s">
        <v>30</v>
      </c>
      <c r="I5" s="17" t="s">
        <v>31</v>
      </c>
      <c r="J5" s="17" t="s">
        <v>153</v>
      </c>
      <c r="K5" s="22">
        <v>720</v>
      </c>
      <c r="L5" s="22">
        <v>720</v>
      </c>
      <c r="M5" s="17">
        <v>1</v>
      </c>
      <c r="N5" s="17"/>
      <c r="O5" s="17">
        <v>0</v>
      </c>
      <c r="P5" s="17"/>
      <c r="Q5" s="17"/>
      <c r="R5" s="17"/>
      <c r="S5" s="17"/>
      <c r="T5" s="17">
        <v>0</v>
      </c>
      <c r="U5" s="17"/>
      <c r="V5" s="17"/>
      <c r="W5" s="17"/>
      <c r="X5" s="17">
        <v>0</v>
      </c>
      <c r="Y5" s="17"/>
      <c r="Z5" s="17"/>
      <c r="AA5" s="22">
        <v>33062.62</v>
      </c>
      <c r="AB5" s="21">
        <v>4298.18</v>
      </c>
      <c r="AC5" s="21">
        <v>37360.8</v>
      </c>
      <c r="AD5" s="17"/>
      <c r="AE5" s="17"/>
      <c r="AF5" s="17"/>
      <c r="AG5" s="22">
        <v>0</v>
      </c>
      <c r="AH5" s="22">
        <v>0</v>
      </c>
      <c r="AI5" s="22">
        <v>0</v>
      </c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 t="s">
        <v>154</v>
      </c>
      <c r="AX5" s="22">
        <v>23955.3636352146</v>
      </c>
      <c r="AY5" s="22">
        <v>371.98629898895</v>
      </c>
      <c r="AZ5" s="22">
        <v>502.010874674433</v>
      </c>
      <c r="BA5" s="22">
        <v>27681.9655105594</v>
      </c>
      <c r="BB5" s="22">
        <v>24829.3608088779</v>
      </c>
      <c r="BC5" s="17" t="s">
        <v>180</v>
      </c>
      <c r="BD5" s="17"/>
      <c r="BE5" s="17" t="s">
        <v>156</v>
      </c>
      <c r="BF5" s="17" t="s">
        <v>157</v>
      </c>
      <c r="BG5" s="17" t="s">
        <v>150</v>
      </c>
      <c r="BH5" s="17"/>
      <c r="BI5" s="21" t="s">
        <v>181</v>
      </c>
      <c r="BJ5" s="17"/>
      <c r="BK5" s="17"/>
      <c r="BL5" s="17"/>
      <c r="BM5" s="17"/>
      <c r="BN5" s="17">
        <v>0.13</v>
      </c>
      <c r="BO5" s="17"/>
      <c r="BP5" s="17" t="s">
        <v>200</v>
      </c>
      <c r="BQ5" s="17"/>
      <c r="BR5" s="17" t="s">
        <v>160</v>
      </c>
      <c r="BS5" s="17" t="s">
        <v>161</v>
      </c>
      <c r="BT5">
        <v>71280</v>
      </c>
      <c r="BU5" t="s">
        <v>36</v>
      </c>
      <c r="BV5" t="s">
        <v>203</v>
      </c>
    </row>
    <row r="6" spans="1:74">
      <c r="A6" s="17">
        <v>159546</v>
      </c>
      <c r="B6" s="17" t="s">
        <v>150</v>
      </c>
      <c r="C6" s="17" t="s">
        <v>199</v>
      </c>
      <c r="D6" s="17"/>
      <c r="E6" s="17" t="s">
        <v>199</v>
      </c>
      <c r="F6" s="17" t="s">
        <v>152</v>
      </c>
      <c r="G6" s="17" t="s">
        <v>19</v>
      </c>
      <c r="H6" s="17" t="s">
        <v>30</v>
      </c>
      <c r="I6" s="17" t="s">
        <v>31</v>
      </c>
      <c r="J6" s="17" t="s">
        <v>153</v>
      </c>
      <c r="K6" s="22">
        <v>360</v>
      </c>
      <c r="L6" s="22">
        <v>360</v>
      </c>
      <c r="M6" s="17">
        <v>1</v>
      </c>
      <c r="N6" s="17"/>
      <c r="O6" s="17">
        <v>0</v>
      </c>
      <c r="P6" s="17"/>
      <c r="Q6" s="17"/>
      <c r="R6" s="17"/>
      <c r="S6" s="17"/>
      <c r="T6" s="17">
        <v>0</v>
      </c>
      <c r="U6" s="17"/>
      <c r="V6" s="17"/>
      <c r="W6" s="17"/>
      <c r="X6" s="17">
        <v>0</v>
      </c>
      <c r="Y6" s="17"/>
      <c r="Z6" s="17"/>
      <c r="AA6" s="22">
        <v>16531.31</v>
      </c>
      <c r="AB6" s="21">
        <v>2149.09</v>
      </c>
      <c r="AC6" s="21">
        <v>18680.4</v>
      </c>
      <c r="AD6" s="17"/>
      <c r="AE6" s="17"/>
      <c r="AF6" s="17"/>
      <c r="AG6" s="22">
        <v>0</v>
      </c>
      <c r="AH6" s="22">
        <v>0</v>
      </c>
      <c r="AI6" s="22">
        <v>0</v>
      </c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 t="s">
        <v>154</v>
      </c>
      <c r="AX6" s="22">
        <v>11977.6818176073</v>
      </c>
      <c r="AY6" s="22">
        <v>185.993149494475</v>
      </c>
      <c r="AZ6" s="22">
        <v>251.005437337217</v>
      </c>
      <c r="BA6" s="22">
        <v>13840.9827552797</v>
      </c>
      <c r="BB6" s="22">
        <v>12414.680404439</v>
      </c>
      <c r="BC6" s="17" t="s">
        <v>180</v>
      </c>
      <c r="BD6" s="17"/>
      <c r="BE6" s="17" t="s">
        <v>156</v>
      </c>
      <c r="BF6" s="17" t="s">
        <v>157</v>
      </c>
      <c r="BG6" s="17" t="s">
        <v>150</v>
      </c>
      <c r="BH6" s="17"/>
      <c r="BI6" s="21" t="s">
        <v>181</v>
      </c>
      <c r="BJ6" s="17"/>
      <c r="BK6" s="17"/>
      <c r="BL6" s="17"/>
      <c r="BM6" s="17"/>
      <c r="BN6" s="17">
        <v>0.13</v>
      </c>
      <c r="BO6" s="17"/>
      <c r="BP6" s="17" t="s">
        <v>200</v>
      </c>
      <c r="BQ6" s="17"/>
      <c r="BR6" s="17" t="s">
        <v>160</v>
      </c>
      <c r="BS6" s="17" t="s">
        <v>161</v>
      </c>
      <c r="BT6">
        <v>35640</v>
      </c>
      <c r="BU6" t="s">
        <v>36</v>
      </c>
      <c r="BV6" t="s">
        <v>203</v>
      </c>
    </row>
    <row r="7" spans="1:74">
      <c r="A7" s="17">
        <v>161682</v>
      </c>
      <c r="B7" s="17" t="s">
        <v>150</v>
      </c>
      <c r="C7" s="17" t="s">
        <v>204</v>
      </c>
      <c r="D7" s="17"/>
      <c r="E7" s="17" t="s">
        <v>204</v>
      </c>
      <c r="F7" s="17" t="s">
        <v>152</v>
      </c>
      <c r="G7" s="17" t="s">
        <v>19</v>
      </c>
      <c r="H7" s="17" t="s">
        <v>28</v>
      </c>
      <c r="I7" s="17" t="s">
        <v>29</v>
      </c>
      <c r="J7" s="17" t="s">
        <v>153</v>
      </c>
      <c r="K7" s="22">
        <v>1800</v>
      </c>
      <c r="L7" s="22">
        <v>1800</v>
      </c>
      <c r="M7" s="17">
        <v>1</v>
      </c>
      <c r="N7" s="17"/>
      <c r="O7" s="17">
        <v>0</v>
      </c>
      <c r="P7" s="17"/>
      <c r="Q7" s="17"/>
      <c r="R7" s="17"/>
      <c r="S7" s="17"/>
      <c r="T7" s="17">
        <v>0</v>
      </c>
      <c r="U7" s="17"/>
      <c r="V7" s="17"/>
      <c r="W7" s="17"/>
      <c r="X7" s="17">
        <v>0</v>
      </c>
      <c r="Y7" s="17"/>
      <c r="Z7" s="17"/>
      <c r="AA7" s="22">
        <v>82656.56</v>
      </c>
      <c r="AB7" s="21">
        <v>10745.44</v>
      </c>
      <c r="AC7" s="21">
        <v>93402</v>
      </c>
      <c r="AD7" s="17"/>
      <c r="AE7" s="17"/>
      <c r="AF7" s="17"/>
      <c r="AG7" s="22">
        <v>0</v>
      </c>
      <c r="AH7" s="22">
        <v>0</v>
      </c>
      <c r="AI7" s="22">
        <v>0</v>
      </c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 t="s">
        <v>154</v>
      </c>
      <c r="AX7" s="22">
        <v>59902.2874392422</v>
      </c>
      <c r="AY7" s="22">
        <v>930.163634586905</v>
      </c>
      <c r="AZ7" s="22">
        <v>1255.2939124728</v>
      </c>
      <c r="BA7" s="22">
        <v>69220.9093745671</v>
      </c>
      <c r="BB7" s="22">
        <v>62087.7449863021</v>
      </c>
      <c r="BC7" s="17" t="s">
        <v>180</v>
      </c>
      <c r="BD7" s="17"/>
      <c r="BE7" s="17" t="s">
        <v>156</v>
      </c>
      <c r="BF7" s="17" t="s">
        <v>157</v>
      </c>
      <c r="BG7" s="17" t="s">
        <v>150</v>
      </c>
      <c r="BH7" s="17"/>
      <c r="BI7" s="21" t="s">
        <v>181</v>
      </c>
      <c r="BJ7" s="17"/>
      <c r="BK7" s="17"/>
      <c r="BL7" s="17"/>
      <c r="BM7" s="17"/>
      <c r="BN7" s="17">
        <v>0.13</v>
      </c>
      <c r="BO7" s="17"/>
      <c r="BP7" s="17" t="s">
        <v>205</v>
      </c>
      <c r="BQ7" s="17"/>
      <c r="BR7" s="17" t="s">
        <v>160</v>
      </c>
      <c r="BS7" s="17" t="s">
        <v>161</v>
      </c>
      <c r="BT7">
        <v>0</v>
      </c>
      <c r="BU7" t="s">
        <v>206</v>
      </c>
      <c r="BV7" t="s">
        <v>202</v>
      </c>
    </row>
    <row r="8" spans="1:74">
      <c r="A8" s="17">
        <v>161683</v>
      </c>
      <c r="B8" s="17" t="s">
        <v>150</v>
      </c>
      <c r="C8" s="17" t="s">
        <v>204</v>
      </c>
      <c r="D8" s="17"/>
      <c r="E8" s="17" t="s">
        <v>204</v>
      </c>
      <c r="F8" s="17" t="s">
        <v>152</v>
      </c>
      <c r="G8" s="17" t="s">
        <v>19</v>
      </c>
      <c r="H8" s="17" t="s">
        <v>30</v>
      </c>
      <c r="I8" s="17" t="s">
        <v>31</v>
      </c>
      <c r="J8" s="17" t="s">
        <v>153</v>
      </c>
      <c r="K8" s="22">
        <v>1800</v>
      </c>
      <c r="L8" s="22">
        <v>1800</v>
      </c>
      <c r="M8" s="17">
        <v>1</v>
      </c>
      <c r="N8" s="17"/>
      <c r="O8" s="17">
        <v>0</v>
      </c>
      <c r="P8" s="17"/>
      <c r="Q8" s="17"/>
      <c r="R8" s="17"/>
      <c r="S8" s="17"/>
      <c r="T8" s="17">
        <v>0</v>
      </c>
      <c r="U8" s="17"/>
      <c r="V8" s="17"/>
      <c r="W8" s="17"/>
      <c r="X8" s="17">
        <v>0</v>
      </c>
      <c r="Y8" s="17"/>
      <c r="Z8" s="17"/>
      <c r="AA8" s="22">
        <v>82656.54</v>
      </c>
      <c r="AB8" s="21">
        <v>10745.46</v>
      </c>
      <c r="AC8" s="21">
        <v>93402</v>
      </c>
      <c r="AD8" s="17"/>
      <c r="AE8" s="17"/>
      <c r="AF8" s="17"/>
      <c r="AG8" s="22">
        <v>0</v>
      </c>
      <c r="AH8" s="22">
        <v>0</v>
      </c>
      <c r="AI8" s="22">
        <v>0</v>
      </c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 t="s">
        <v>154</v>
      </c>
      <c r="AX8" s="22">
        <v>59888.4090880366</v>
      </c>
      <c r="AY8" s="22">
        <v>929.965747472375</v>
      </c>
      <c r="AZ8" s="22">
        <v>1255.02718668608</v>
      </c>
      <c r="BA8" s="22">
        <v>69204.9137763985</v>
      </c>
      <c r="BB8" s="22">
        <v>62073.4020221948</v>
      </c>
      <c r="BC8" s="17" t="s">
        <v>180</v>
      </c>
      <c r="BD8" s="17"/>
      <c r="BE8" s="17" t="s">
        <v>156</v>
      </c>
      <c r="BF8" s="17" t="s">
        <v>157</v>
      </c>
      <c r="BG8" s="17" t="s">
        <v>150</v>
      </c>
      <c r="BH8" s="17"/>
      <c r="BI8" s="21" t="s">
        <v>181</v>
      </c>
      <c r="BJ8" s="17"/>
      <c r="BK8" s="17"/>
      <c r="BL8" s="17"/>
      <c r="BM8" s="17"/>
      <c r="BN8" s="17">
        <v>0.13</v>
      </c>
      <c r="BO8" s="17"/>
      <c r="BP8" s="17" t="s">
        <v>205</v>
      </c>
      <c r="BQ8" s="17"/>
      <c r="BR8" s="17" t="s">
        <v>160</v>
      </c>
      <c r="BS8" s="17" t="s">
        <v>161</v>
      </c>
      <c r="BT8">
        <v>0</v>
      </c>
      <c r="BU8" t="s">
        <v>206</v>
      </c>
      <c r="BV8" t="s">
        <v>202</v>
      </c>
    </row>
    <row r="9" spans="1:74">
      <c r="A9" s="17">
        <v>161684</v>
      </c>
      <c r="B9" s="17" t="s">
        <v>150</v>
      </c>
      <c r="C9" s="17" t="s">
        <v>207</v>
      </c>
      <c r="D9" s="17"/>
      <c r="E9" s="17" t="s">
        <v>207</v>
      </c>
      <c r="F9" s="17" t="s">
        <v>152</v>
      </c>
      <c r="G9" s="17" t="s">
        <v>19</v>
      </c>
      <c r="H9" s="17" t="s">
        <v>28</v>
      </c>
      <c r="I9" s="17" t="s">
        <v>29</v>
      </c>
      <c r="J9" s="17" t="s">
        <v>153</v>
      </c>
      <c r="K9" s="22">
        <v>360</v>
      </c>
      <c r="L9" s="22">
        <v>360</v>
      </c>
      <c r="M9" s="17">
        <v>1</v>
      </c>
      <c r="N9" s="17"/>
      <c r="O9" s="17">
        <v>0</v>
      </c>
      <c r="P9" s="17"/>
      <c r="Q9" s="17"/>
      <c r="R9" s="17"/>
      <c r="S9" s="17"/>
      <c r="T9" s="17">
        <v>0</v>
      </c>
      <c r="U9" s="17"/>
      <c r="V9" s="17"/>
      <c r="W9" s="17"/>
      <c r="X9" s="17">
        <v>0</v>
      </c>
      <c r="Y9" s="17"/>
      <c r="Z9" s="17"/>
      <c r="AA9" s="22">
        <v>16531.31</v>
      </c>
      <c r="AB9" s="21">
        <v>2149.09</v>
      </c>
      <c r="AC9" s="21">
        <v>18680.4</v>
      </c>
      <c r="AD9" s="17"/>
      <c r="AE9" s="17"/>
      <c r="AF9" s="17"/>
      <c r="AG9" s="22">
        <v>0</v>
      </c>
      <c r="AH9" s="22">
        <v>0</v>
      </c>
      <c r="AI9" s="22">
        <v>0</v>
      </c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 t="s">
        <v>154</v>
      </c>
      <c r="AX9" s="22">
        <v>11980.4574878484</v>
      </c>
      <c r="AY9" s="22">
        <v>186.032726917381</v>
      </c>
      <c r="AZ9" s="22">
        <v>251.058782494561</v>
      </c>
      <c r="BA9" s="22">
        <v>13844.1818749134</v>
      </c>
      <c r="BB9" s="22">
        <v>12417.5489972604</v>
      </c>
      <c r="BC9" s="17" t="s">
        <v>180</v>
      </c>
      <c r="BD9" s="17"/>
      <c r="BE9" s="17" t="s">
        <v>156</v>
      </c>
      <c r="BF9" s="17" t="s">
        <v>157</v>
      </c>
      <c r="BG9" s="17" t="s">
        <v>150</v>
      </c>
      <c r="BH9" s="17"/>
      <c r="BI9" s="21" t="s">
        <v>181</v>
      </c>
      <c r="BJ9" s="17"/>
      <c r="BK9" s="17"/>
      <c r="BL9" s="17"/>
      <c r="BM9" s="17"/>
      <c r="BN9" s="17">
        <v>0.13</v>
      </c>
      <c r="BO9" s="17"/>
      <c r="BP9" s="17" t="s">
        <v>208</v>
      </c>
      <c r="BQ9" s="17"/>
      <c r="BR9" s="17" t="s">
        <v>160</v>
      </c>
      <c r="BS9" s="17" t="s">
        <v>161</v>
      </c>
      <c r="BT9">
        <v>35640</v>
      </c>
      <c r="BU9" t="s">
        <v>201</v>
      </c>
      <c r="BV9" t="s">
        <v>202</v>
      </c>
    </row>
    <row r="10" spans="1:74">
      <c r="A10" s="17">
        <v>161685</v>
      </c>
      <c r="B10" s="17" t="s">
        <v>150</v>
      </c>
      <c r="C10" s="17" t="s">
        <v>207</v>
      </c>
      <c r="D10" s="17"/>
      <c r="E10" s="17" t="s">
        <v>207</v>
      </c>
      <c r="F10" s="17" t="s">
        <v>152</v>
      </c>
      <c r="G10" s="17" t="s">
        <v>19</v>
      </c>
      <c r="H10" s="17" t="s">
        <v>28</v>
      </c>
      <c r="I10" s="17" t="s">
        <v>29</v>
      </c>
      <c r="J10" s="17" t="s">
        <v>153</v>
      </c>
      <c r="K10" s="22">
        <v>360</v>
      </c>
      <c r="L10" s="22">
        <v>360</v>
      </c>
      <c r="M10" s="17">
        <v>1</v>
      </c>
      <c r="N10" s="17"/>
      <c r="O10" s="17">
        <v>0</v>
      </c>
      <c r="P10" s="17"/>
      <c r="Q10" s="17"/>
      <c r="R10" s="17"/>
      <c r="S10" s="17"/>
      <c r="T10" s="17">
        <v>0</v>
      </c>
      <c r="U10" s="17"/>
      <c r="V10" s="17"/>
      <c r="W10" s="17"/>
      <c r="X10" s="17">
        <v>0</v>
      </c>
      <c r="Y10" s="17"/>
      <c r="Z10" s="17"/>
      <c r="AA10" s="22">
        <v>16531.31</v>
      </c>
      <c r="AB10" s="21">
        <v>2149.09</v>
      </c>
      <c r="AC10" s="21">
        <v>18680.4</v>
      </c>
      <c r="AD10" s="17"/>
      <c r="AE10" s="17"/>
      <c r="AF10" s="17"/>
      <c r="AG10" s="22">
        <v>0</v>
      </c>
      <c r="AH10" s="22">
        <v>0</v>
      </c>
      <c r="AI10" s="22">
        <v>0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 t="s">
        <v>154</v>
      </c>
      <c r="AX10" s="22">
        <v>11980.4574878484</v>
      </c>
      <c r="AY10" s="22">
        <v>186.032726917381</v>
      </c>
      <c r="AZ10" s="22">
        <v>251.058782494561</v>
      </c>
      <c r="BA10" s="22">
        <v>13844.1818749134</v>
      </c>
      <c r="BB10" s="22">
        <v>12417.5489972604</v>
      </c>
      <c r="BC10" s="17" t="s">
        <v>180</v>
      </c>
      <c r="BD10" s="17"/>
      <c r="BE10" s="17" t="s">
        <v>156</v>
      </c>
      <c r="BF10" s="17" t="s">
        <v>157</v>
      </c>
      <c r="BG10" s="17" t="s">
        <v>150</v>
      </c>
      <c r="BH10" s="17"/>
      <c r="BI10" s="21" t="s">
        <v>181</v>
      </c>
      <c r="BJ10" s="17"/>
      <c r="BK10" s="17"/>
      <c r="BL10" s="17"/>
      <c r="BM10" s="17"/>
      <c r="BN10" s="17">
        <v>0.13</v>
      </c>
      <c r="BO10" s="17"/>
      <c r="BP10" s="17" t="s">
        <v>208</v>
      </c>
      <c r="BQ10" s="17"/>
      <c r="BR10" s="17" t="s">
        <v>160</v>
      </c>
      <c r="BS10" s="17" t="s">
        <v>161</v>
      </c>
      <c r="BT10">
        <v>35640</v>
      </c>
      <c r="BU10" t="s">
        <v>201</v>
      </c>
      <c r="BV10" t="s">
        <v>202</v>
      </c>
    </row>
    <row r="11" spans="1:74">
      <c r="A11" s="17">
        <v>161686</v>
      </c>
      <c r="B11" s="17" t="s">
        <v>150</v>
      </c>
      <c r="C11" s="17" t="s">
        <v>207</v>
      </c>
      <c r="D11" s="17"/>
      <c r="E11" s="17" t="s">
        <v>207</v>
      </c>
      <c r="F11" s="17" t="s">
        <v>152</v>
      </c>
      <c r="G11" s="17" t="s">
        <v>19</v>
      </c>
      <c r="H11" s="17" t="s">
        <v>28</v>
      </c>
      <c r="I11" s="17" t="s">
        <v>29</v>
      </c>
      <c r="J11" s="17" t="s">
        <v>153</v>
      </c>
      <c r="K11" s="22">
        <v>360</v>
      </c>
      <c r="L11" s="22">
        <v>360</v>
      </c>
      <c r="M11" s="17">
        <v>1</v>
      </c>
      <c r="N11" s="17"/>
      <c r="O11" s="17">
        <v>0</v>
      </c>
      <c r="P11" s="17"/>
      <c r="Q11" s="17"/>
      <c r="R11" s="17"/>
      <c r="S11" s="17"/>
      <c r="T11" s="17">
        <v>0</v>
      </c>
      <c r="U11" s="17"/>
      <c r="V11" s="17"/>
      <c r="W11" s="17"/>
      <c r="X11" s="17">
        <v>0</v>
      </c>
      <c r="Y11" s="17"/>
      <c r="Z11" s="17"/>
      <c r="AA11" s="22">
        <v>16531.31</v>
      </c>
      <c r="AB11" s="21">
        <v>2149.09</v>
      </c>
      <c r="AC11" s="21">
        <v>18680.4</v>
      </c>
      <c r="AD11" s="17"/>
      <c r="AE11" s="17"/>
      <c r="AF11" s="17"/>
      <c r="AG11" s="22">
        <v>0</v>
      </c>
      <c r="AH11" s="22">
        <v>0</v>
      </c>
      <c r="AI11" s="22">
        <v>0</v>
      </c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 t="s">
        <v>154</v>
      </c>
      <c r="AX11" s="22">
        <v>11980.4574878484</v>
      </c>
      <c r="AY11" s="22">
        <v>186.032726917381</v>
      </c>
      <c r="AZ11" s="22">
        <v>251.058782494561</v>
      </c>
      <c r="BA11" s="22">
        <v>13844.1818749134</v>
      </c>
      <c r="BB11" s="22">
        <v>12417.5489972604</v>
      </c>
      <c r="BC11" s="17" t="s">
        <v>180</v>
      </c>
      <c r="BD11" s="17"/>
      <c r="BE11" s="17" t="s">
        <v>156</v>
      </c>
      <c r="BF11" s="17" t="s">
        <v>157</v>
      </c>
      <c r="BG11" s="17" t="s">
        <v>150</v>
      </c>
      <c r="BH11" s="17"/>
      <c r="BI11" s="21" t="s">
        <v>181</v>
      </c>
      <c r="BJ11" s="17"/>
      <c r="BK11" s="17"/>
      <c r="BL11" s="17"/>
      <c r="BM11" s="17"/>
      <c r="BN11" s="17">
        <v>0.13</v>
      </c>
      <c r="BO11" s="17"/>
      <c r="BP11" s="17" t="s">
        <v>208</v>
      </c>
      <c r="BQ11" s="17"/>
      <c r="BR11" s="17" t="s">
        <v>160</v>
      </c>
      <c r="BS11" s="17" t="s">
        <v>161</v>
      </c>
      <c r="BT11">
        <v>35640</v>
      </c>
      <c r="BU11" t="s">
        <v>36</v>
      </c>
      <c r="BV11" t="s">
        <v>203</v>
      </c>
    </row>
    <row r="12" spans="1:74">
      <c r="A12" s="17">
        <v>161687</v>
      </c>
      <c r="B12" s="17" t="s">
        <v>150</v>
      </c>
      <c r="C12" s="17" t="s">
        <v>207</v>
      </c>
      <c r="D12" s="17"/>
      <c r="E12" s="17" t="s">
        <v>207</v>
      </c>
      <c r="F12" s="17" t="s">
        <v>152</v>
      </c>
      <c r="G12" s="17" t="s">
        <v>19</v>
      </c>
      <c r="H12" s="17" t="s">
        <v>28</v>
      </c>
      <c r="I12" s="17" t="s">
        <v>29</v>
      </c>
      <c r="J12" s="17" t="s">
        <v>153</v>
      </c>
      <c r="K12" s="22">
        <v>324</v>
      </c>
      <c r="L12" s="22">
        <v>324</v>
      </c>
      <c r="M12" s="17">
        <v>1</v>
      </c>
      <c r="N12" s="17"/>
      <c r="O12" s="17">
        <v>0</v>
      </c>
      <c r="P12" s="17"/>
      <c r="Q12" s="17"/>
      <c r="R12" s="17"/>
      <c r="S12" s="17"/>
      <c r="T12" s="17">
        <v>0</v>
      </c>
      <c r="U12" s="17"/>
      <c r="V12" s="17"/>
      <c r="W12" s="17"/>
      <c r="X12" s="17">
        <v>0</v>
      </c>
      <c r="Y12" s="17"/>
      <c r="Z12" s="17"/>
      <c r="AA12" s="22">
        <v>14878.18</v>
      </c>
      <c r="AB12" s="21">
        <v>1934.18</v>
      </c>
      <c r="AC12" s="21">
        <v>16812.36</v>
      </c>
      <c r="AD12" s="17"/>
      <c r="AE12" s="17"/>
      <c r="AF12" s="17"/>
      <c r="AG12" s="22">
        <v>0</v>
      </c>
      <c r="AH12" s="22">
        <v>0</v>
      </c>
      <c r="AI12" s="22">
        <v>0</v>
      </c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 t="s">
        <v>154</v>
      </c>
      <c r="AX12" s="22">
        <v>10782.4117390636</v>
      </c>
      <c r="AY12" s="22">
        <v>167.429454225643</v>
      </c>
      <c r="AZ12" s="22">
        <v>225.952904245105</v>
      </c>
      <c r="BA12" s="22">
        <v>12459.7636874221</v>
      </c>
      <c r="BB12" s="22">
        <v>11175.7940975344</v>
      </c>
      <c r="BC12" s="17" t="s">
        <v>180</v>
      </c>
      <c r="BD12" s="17"/>
      <c r="BE12" s="17" t="s">
        <v>156</v>
      </c>
      <c r="BF12" s="17" t="s">
        <v>157</v>
      </c>
      <c r="BG12" s="17" t="s">
        <v>150</v>
      </c>
      <c r="BH12" s="17"/>
      <c r="BI12" s="21" t="s">
        <v>181</v>
      </c>
      <c r="BJ12" s="17"/>
      <c r="BK12" s="17"/>
      <c r="BL12" s="17"/>
      <c r="BM12" s="17"/>
      <c r="BN12" s="17">
        <v>0.13</v>
      </c>
      <c r="BO12" s="17"/>
      <c r="BP12" s="17" t="s">
        <v>208</v>
      </c>
      <c r="BQ12" s="17"/>
      <c r="BR12" s="17" t="s">
        <v>160</v>
      </c>
      <c r="BS12" s="17" t="s">
        <v>161</v>
      </c>
      <c r="BT12">
        <v>32076</v>
      </c>
      <c r="BU12" t="s">
        <v>36</v>
      </c>
      <c r="BV12" t="s">
        <v>203</v>
      </c>
    </row>
    <row r="13" spans="1:74">
      <c r="A13" s="17">
        <v>161688</v>
      </c>
      <c r="B13" s="17" t="s">
        <v>150</v>
      </c>
      <c r="C13" s="17" t="s">
        <v>207</v>
      </c>
      <c r="D13" s="17"/>
      <c r="E13" s="17" t="s">
        <v>207</v>
      </c>
      <c r="F13" s="17" t="s">
        <v>152</v>
      </c>
      <c r="G13" s="17" t="s">
        <v>19</v>
      </c>
      <c r="H13" s="17" t="s">
        <v>30</v>
      </c>
      <c r="I13" s="17" t="s">
        <v>31</v>
      </c>
      <c r="J13" s="17" t="s">
        <v>153</v>
      </c>
      <c r="K13" s="22">
        <v>360</v>
      </c>
      <c r="L13" s="22">
        <v>360</v>
      </c>
      <c r="M13" s="17">
        <v>1</v>
      </c>
      <c r="N13" s="17"/>
      <c r="O13" s="17">
        <v>0</v>
      </c>
      <c r="P13" s="17"/>
      <c r="Q13" s="17"/>
      <c r="R13" s="17"/>
      <c r="S13" s="17"/>
      <c r="T13" s="17">
        <v>0</v>
      </c>
      <c r="U13" s="17"/>
      <c r="V13" s="17"/>
      <c r="W13" s="17"/>
      <c r="X13" s="17">
        <v>0</v>
      </c>
      <c r="Y13" s="17"/>
      <c r="Z13" s="17"/>
      <c r="AA13" s="22">
        <v>16531.31</v>
      </c>
      <c r="AB13" s="21">
        <v>2149.09</v>
      </c>
      <c r="AC13" s="21">
        <v>18680.4</v>
      </c>
      <c r="AD13" s="17"/>
      <c r="AE13" s="17"/>
      <c r="AF13" s="17"/>
      <c r="AG13" s="22">
        <v>0</v>
      </c>
      <c r="AH13" s="22">
        <v>0</v>
      </c>
      <c r="AI13" s="22">
        <v>0</v>
      </c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 t="s">
        <v>154</v>
      </c>
      <c r="AX13" s="22">
        <v>11977.6818176073</v>
      </c>
      <c r="AY13" s="22">
        <v>185.993149494475</v>
      </c>
      <c r="AZ13" s="22">
        <v>251.005437337217</v>
      </c>
      <c r="BA13" s="22">
        <v>13840.9827552797</v>
      </c>
      <c r="BB13" s="22">
        <v>12414.680404439</v>
      </c>
      <c r="BC13" s="17" t="s">
        <v>180</v>
      </c>
      <c r="BD13" s="17"/>
      <c r="BE13" s="17" t="s">
        <v>156</v>
      </c>
      <c r="BF13" s="17" t="s">
        <v>157</v>
      </c>
      <c r="BG13" s="17" t="s">
        <v>150</v>
      </c>
      <c r="BH13" s="17"/>
      <c r="BI13" s="21" t="s">
        <v>181</v>
      </c>
      <c r="BJ13" s="17"/>
      <c r="BK13" s="17"/>
      <c r="BL13" s="17"/>
      <c r="BM13" s="17"/>
      <c r="BN13" s="17">
        <v>0.13</v>
      </c>
      <c r="BO13" s="17"/>
      <c r="BP13" s="17" t="s">
        <v>208</v>
      </c>
      <c r="BQ13" s="17"/>
      <c r="BR13" s="17" t="s">
        <v>160</v>
      </c>
      <c r="BS13" s="17" t="s">
        <v>161</v>
      </c>
      <c r="BT13">
        <v>35640</v>
      </c>
      <c r="BU13" t="s">
        <v>36</v>
      </c>
      <c r="BV13" t="s">
        <v>203</v>
      </c>
    </row>
    <row r="14" spans="1:74">
      <c r="A14" s="17">
        <v>161689</v>
      </c>
      <c r="B14" s="17" t="s">
        <v>150</v>
      </c>
      <c r="C14" s="17" t="s">
        <v>207</v>
      </c>
      <c r="D14" s="17"/>
      <c r="E14" s="17" t="s">
        <v>207</v>
      </c>
      <c r="F14" s="17" t="s">
        <v>152</v>
      </c>
      <c r="G14" s="17" t="s">
        <v>19</v>
      </c>
      <c r="H14" s="17" t="s">
        <v>30</v>
      </c>
      <c r="I14" s="17" t="s">
        <v>31</v>
      </c>
      <c r="J14" s="17" t="s">
        <v>153</v>
      </c>
      <c r="K14" s="22">
        <v>360</v>
      </c>
      <c r="L14" s="22">
        <v>360</v>
      </c>
      <c r="M14" s="17">
        <v>1</v>
      </c>
      <c r="N14" s="17"/>
      <c r="O14" s="17">
        <v>0</v>
      </c>
      <c r="P14" s="17"/>
      <c r="Q14" s="17"/>
      <c r="R14" s="17"/>
      <c r="S14" s="17"/>
      <c r="T14" s="17">
        <v>0</v>
      </c>
      <c r="U14" s="17"/>
      <c r="V14" s="17"/>
      <c r="W14" s="17"/>
      <c r="X14" s="17">
        <v>0</v>
      </c>
      <c r="Y14" s="17"/>
      <c r="Z14" s="17"/>
      <c r="AA14" s="22">
        <v>16531.31</v>
      </c>
      <c r="AB14" s="21">
        <v>2149.09</v>
      </c>
      <c r="AC14" s="21">
        <v>18680.4</v>
      </c>
      <c r="AD14" s="17"/>
      <c r="AE14" s="17"/>
      <c r="AF14" s="17"/>
      <c r="AG14" s="22">
        <v>0</v>
      </c>
      <c r="AH14" s="22">
        <v>0</v>
      </c>
      <c r="AI14" s="22">
        <v>0</v>
      </c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 t="s">
        <v>154</v>
      </c>
      <c r="AX14" s="22">
        <v>11977.6818176073</v>
      </c>
      <c r="AY14" s="22">
        <v>185.993149494475</v>
      </c>
      <c r="AZ14" s="22">
        <v>251.005437337217</v>
      </c>
      <c r="BA14" s="22">
        <v>13840.9827552797</v>
      </c>
      <c r="BB14" s="22">
        <v>12414.680404439</v>
      </c>
      <c r="BC14" s="17" t="s">
        <v>180</v>
      </c>
      <c r="BD14" s="17"/>
      <c r="BE14" s="17" t="s">
        <v>156</v>
      </c>
      <c r="BF14" s="17" t="s">
        <v>157</v>
      </c>
      <c r="BG14" s="17" t="s">
        <v>150</v>
      </c>
      <c r="BH14" s="17"/>
      <c r="BI14" s="21" t="s">
        <v>181</v>
      </c>
      <c r="BJ14" s="17"/>
      <c r="BK14" s="17"/>
      <c r="BL14" s="17"/>
      <c r="BM14" s="17"/>
      <c r="BN14" s="17">
        <v>0.13</v>
      </c>
      <c r="BO14" s="17"/>
      <c r="BP14" s="17" t="s">
        <v>208</v>
      </c>
      <c r="BQ14" s="17"/>
      <c r="BR14" s="17" t="s">
        <v>160</v>
      </c>
      <c r="BS14" s="17" t="s">
        <v>161</v>
      </c>
      <c r="BT14">
        <v>35640</v>
      </c>
      <c r="BU14" t="s">
        <v>36</v>
      </c>
      <c r="BV14" t="s">
        <v>203</v>
      </c>
    </row>
    <row r="15" spans="1:74">
      <c r="A15" s="17">
        <v>161690</v>
      </c>
      <c r="B15" s="17" t="s">
        <v>150</v>
      </c>
      <c r="C15" s="17" t="s">
        <v>207</v>
      </c>
      <c r="D15" s="17"/>
      <c r="E15" s="17" t="s">
        <v>207</v>
      </c>
      <c r="F15" s="17" t="s">
        <v>152</v>
      </c>
      <c r="G15" s="17" t="s">
        <v>19</v>
      </c>
      <c r="H15" s="17" t="s">
        <v>30</v>
      </c>
      <c r="I15" s="17" t="s">
        <v>31</v>
      </c>
      <c r="J15" s="17" t="s">
        <v>153</v>
      </c>
      <c r="K15" s="22">
        <v>360</v>
      </c>
      <c r="L15" s="22">
        <v>360</v>
      </c>
      <c r="M15" s="17">
        <v>1</v>
      </c>
      <c r="N15" s="17"/>
      <c r="O15" s="17">
        <v>0</v>
      </c>
      <c r="P15" s="17"/>
      <c r="Q15" s="17"/>
      <c r="R15" s="17"/>
      <c r="S15" s="17"/>
      <c r="T15" s="17">
        <v>0</v>
      </c>
      <c r="U15" s="17"/>
      <c r="V15" s="17"/>
      <c r="W15" s="17"/>
      <c r="X15" s="17">
        <v>0</v>
      </c>
      <c r="Y15" s="17"/>
      <c r="Z15" s="17"/>
      <c r="AA15" s="22">
        <v>16531.31</v>
      </c>
      <c r="AB15" s="21">
        <v>2149.09</v>
      </c>
      <c r="AC15" s="21">
        <v>18680.4</v>
      </c>
      <c r="AD15" s="17"/>
      <c r="AE15" s="17"/>
      <c r="AF15" s="17"/>
      <c r="AG15" s="22">
        <v>0</v>
      </c>
      <c r="AH15" s="22">
        <v>0</v>
      </c>
      <c r="AI15" s="22">
        <v>0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 t="s">
        <v>154</v>
      </c>
      <c r="AX15" s="22">
        <v>11977.6818176073</v>
      </c>
      <c r="AY15" s="22">
        <v>185.993149494475</v>
      </c>
      <c r="AZ15" s="22">
        <v>251.005437337217</v>
      </c>
      <c r="BA15" s="22">
        <v>13840.9827552797</v>
      </c>
      <c r="BB15" s="22">
        <v>12414.680404439</v>
      </c>
      <c r="BC15" s="17" t="s">
        <v>180</v>
      </c>
      <c r="BD15" s="17"/>
      <c r="BE15" s="17" t="s">
        <v>156</v>
      </c>
      <c r="BF15" s="17" t="s">
        <v>157</v>
      </c>
      <c r="BG15" s="17" t="s">
        <v>150</v>
      </c>
      <c r="BH15" s="17"/>
      <c r="BI15" s="21" t="s">
        <v>181</v>
      </c>
      <c r="BJ15" s="17"/>
      <c r="BK15" s="17"/>
      <c r="BL15" s="17"/>
      <c r="BM15" s="17"/>
      <c r="BN15" s="17">
        <v>0.13</v>
      </c>
      <c r="BO15" s="17"/>
      <c r="BP15" s="17" t="s">
        <v>208</v>
      </c>
      <c r="BQ15" s="17"/>
      <c r="BR15" s="17" t="s">
        <v>160</v>
      </c>
      <c r="BS15" s="17" t="s">
        <v>161</v>
      </c>
      <c r="BT15">
        <v>35640</v>
      </c>
      <c r="BU15" t="s">
        <v>36</v>
      </c>
      <c r="BV15" t="s">
        <v>203</v>
      </c>
    </row>
    <row r="16" spans="1:74">
      <c r="A16" s="17">
        <v>161691</v>
      </c>
      <c r="B16" s="17" t="s">
        <v>150</v>
      </c>
      <c r="C16" s="17" t="s">
        <v>207</v>
      </c>
      <c r="D16" s="17"/>
      <c r="E16" s="17" t="s">
        <v>207</v>
      </c>
      <c r="F16" s="17" t="s">
        <v>152</v>
      </c>
      <c r="G16" s="17" t="s">
        <v>19</v>
      </c>
      <c r="H16" s="17" t="s">
        <v>30</v>
      </c>
      <c r="I16" s="17" t="s">
        <v>31</v>
      </c>
      <c r="J16" s="17" t="s">
        <v>153</v>
      </c>
      <c r="K16" s="22">
        <v>324</v>
      </c>
      <c r="L16" s="22">
        <v>324</v>
      </c>
      <c r="M16" s="17">
        <v>1</v>
      </c>
      <c r="N16" s="17"/>
      <c r="O16" s="17">
        <v>0</v>
      </c>
      <c r="P16" s="17"/>
      <c r="Q16" s="17"/>
      <c r="R16" s="17"/>
      <c r="S16" s="17"/>
      <c r="T16" s="17">
        <v>0</v>
      </c>
      <c r="U16" s="17"/>
      <c r="V16" s="17"/>
      <c r="W16" s="17"/>
      <c r="X16" s="17">
        <v>0</v>
      </c>
      <c r="Y16" s="17"/>
      <c r="Z16" s="17"/>
      <c r="AA16" s="22">
        <v>14878.18</v>
      </c>
      <c r="AB16" s="21">
        <v>1934.18</v>
      </c>
      <c r="AC16" s="21">
        <v>16812.36</v>
      </c>
      <c r="AD16" s="17"/>
      <c r="AE16" s="17"/>
      <c r="AF16" s="17"/>
      <c r="AG16" s="22">
        <v>0</v>
      </c>
      <c r="AH16" s="22">
        <v>0</v>
      </c>
      <c r="AI16" s="22">
        <v>0</v>
      </c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 t="s">
        <v>154</v>
      </c>
      <c r="AX16" s="22">
        <v>10779.9136358466</v>
      </c>
      <c r="AY16" s="22">
        <v>167.393834545028</v>
      </c>
      <c r="AZ16" s="22">
        <v>225.904893603495</v>
      </c>
      <c r="BA16" s="22">
        <v>12456.8844797517</v>
      </c>
      <c r="BB16" s="22">
        <v>11173.2123639951</v>
      </c>
      <c r="BC16" s="17" t="s">
        <v>180</v>
      </c>
      <c r="BD16" s="17"/>
      <c r="BE16" s="17" t="s">
        <v>156</v>
      </c>
      <c r="BF16" s="17" t="s">
        <v>157</v>
      </c>
      <c r="BG16" s="17" t="s">
        <v>150</v>
      </c>
      <c r="BH16" s="17"/>
      <c r="BI16" s="21" t="s">
        <v>181</v>
      </c>
      <c r="BJ16" s="17"/>
      <c r="BK16" s="17"/>
      <c r="BL16" s="17"/>
      <c r="BM16" s="17"/>
      <c r="BN16" s="17">
        <v>0.13</v>
      </c>
      <c r="BO16" s="17"/>
      <c r="BP16" s="17" t="s">
        <v>208</v>
      </c>
      <c r="BQ16" s="17"/>
      <c r="BR16" s="17" t="s">
        <v>160</v>
      </c>
      <c r="BS16" s="17" t="s">
        <v>161</v>
      </c>
      <c r="BT16">
        <v>32076</v>
      </c>
      <c r="BU16" t="s">
        <v>36</v>
      </c>
      <c r="BV16" t="s">
        <v>203</v>
      </c>
    </row>
    <row r="17" spans="1:74">
      <c r="A17" s="17">
        <v>169442</v>
      </c>
      <c r="B17" s="17" t="s">
        <v>150</v>
      </c>
      <c r="C17" s="17" t="s">
        <v>209</v>
      </c>
      <c r="D17" s="17"/>
      <c r="E17" s="17" t="s">
        <v>210</v>
      </c>
      <c r="F17" s="17" t="s">
        <v>152</v>
      </c>
      <c r="G17" s="17" t="s">
        <v>19</v>
      </c>
      <c r="H17" s="17" t="s">
        <v>24</v>
      </c>
      <c r="I17" s="17" t="s">
        <v>25</v>
      </c>
      <c r="J17" s="17" t="s">
        <v>211</v>
      </c>
      <c r="K17" s="22">
        <v>24</v>
      </c>
      <c r="L17" s="22">
        <v>24</v>
      </c>
      <c r="M17" s="17">
        <v>1</v>
      </c>
      <c r="N17" s="17"/>
      <c r="O17" s="17">
        <v>0</v>
      </c>
      <c r="P17" s="17"/>
      <c r="Q17" s="17"/>
      <c r="R17" s="17"/>
      <c r="S17" s="17"/>
      <c r="T17" s="17">
        <v>0</v>
      </c>
      <c r="U17" s="17"/>
      <c r="V17" s="17"/>
      <c r="W17" s="17"/>
      <c r="X17" s="17">
        <v>0</v>
      </c>
      <c r="Y17" s="17"/>
      <c r="Z17" s="17"/>
      <c r="AA17" s="22">
        <v>95.58</v>
      </c>
      <c r="AB17" s="21">
        <v>12.42</v>
      </c>
      <c r="AC17" s="21">
        <v>108</v>
      </c>
      <c r="AD17" s="17"/>
      <c r="AE17" s="17"/>
      <c r="AF17" s="17"/>
      <c r="AG17" s="22">
        <v>17.66</v>
      </c>
      <c r="AH17" s="22">
        <v>16.66</v>
      </c>
      <c r="AI17" s="22">
        <v>1</v>
      </c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 t="s">
        <v>154</v>
      </c>
      <c r="AX17" s="22">
        <v>84.9734812950463</v>
      </c>
      <c r="AY17" s="22">
        <v>0</v>
      </c>
      <c r="AZ17" s="22">
        <v>0</v>
      </c>
      <c r="BA17" s="22">
        <v>95.0921234476605</v>
      </c>
      <c r="BB17" s="22">
        <v>84.9734812950463</v>
      </c>
      <c r="BC17" s="17" t="s">
        <v>180</v>
      </c>
      <c r="BD17" s="17"/>
      <c r="BE17" s="17" t="s">
        <v>156</v>
      </c>
      <c r="BF17" s="17" t="s">
        <v>212</v>
      </c>
      <c r="BG17" s="17" t="s">
        <v>150</v>
      </c>
      <c r="BH17" s="17"/>
      <c r="BI17" s="21" t="s">
        <v>181</v>
      </c>
      <c r="BJ17" s="17"/>
      <c r="BK17" s="17"/>
      <c r="BL17" s="17"/>
      <c r="BM17" s="17"/>
      <c r="BN17" s="17">
        <v>0.13</v>
      </c>
      <c r="BO17" s="17"/>
      <c r="BP17" s="17" t="s">
        <v>213</v>
      </c>
      <c r="BQ17" s="17" t="s">
        <v>214</v>
      </c>
      <c r="BR17" s="17" t="s">
        <v>215</v>
      </c>
      <c r="BS17" s="17" t="s">
        <v>216</v>
      </c>
      <c r="BT17">
        <v>478.52</v>
      </c>
      <c r="BU17" t="s">
        <v>201</v>
      </c>
      <c r="BV17" t="s">
        <v>202</v>
      </c>
    </row>
    <row r="18" spans="1:74">
      <c r="A18" s="17">
        <v>169443</v>
      </c>
      <c r="B18" s="17" t="s">
        <v>150</v>
      </c>
      <c r="C18" s="17" t="s">
        <v>217</v>
      </c>
      <c r="D18" s="17"/>
      <c r="E18" s="17" t="s">
        <v>218</v>
      </c>
      <c r="F18" s="17" t="s">
        <v>152</v>
      </c>
      <c r="G18" s="17" t="s">
        <v>19</v>
      </c>
      <c r="H18" s="17" t="s">
        <v>24</v>
      </c>
      <c r="I18" s="17" t="s">
        <v>25</v>
      </c>
      <c r="J18" s="17" t="s">
        <v>211</v>
      </c>
      <c r="K18" s="22">
        <v>24</v>
      </c>
      <c r="L18" s="22">
        <v>24</v>
      </c>
      <c r="M18" s="17">
        <v>1</v>
      </c>
      <c r="N18" s="17"/>
      <c r="O18" s="17">
        <v>0</v>
      </c>
      <c r="P18" s="17"/>
      <c r="Q18" s="17"/>
      <c r="R18" s="17"/>
      <c r="S18" s="17"/>
      <c r="T18" s="17">
        <v>0</v>
      </c>
      <c r="U18" s="17"/>
      <c r="V18" s="17"/>
      <c r="W18" s="17"/>
      <c r="X18" s="17">
        <v>0</v>
      </c>
      <c r="Y18" s="17"/>
      <c r="Z18" s="17"/>
      <c r="AA18" s="22">
        <v>95.58</v>
      </c>
      <c r="AB18" s="21">
        <v>12.42</v>
      </c>
      <c r="AC18" s="21">
        <v>108</v>
      </c>
      <c r="AD18" s="17"/>
      <c r="AE18" s="17"/>
      <c r="AF18" s="17"/>
      <c r="AG18" s="22">
        <v>17.66</v>
      </c>
      <c r="AH18" s="22">
        <v>16.66</v>
      </c>
      <c r="AI18" s="22">
        <v>1</v>
      </c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 t="s">
        <v>154</v>
      </c>
      <c r="AX18" s="22">
        <v>84.9734812950463</v>
      </c>
      <c r="AY18" s="22">
        <v>0</v>
      </c>
      <c r="AZ18" s="22">
        <v>0</v>
      </c>
      <c r="BA18" s="22">
        <v>95.0921234476605</v>
      </c>
      <c r="BB18" s="22">
        <v>84.9734812950463</v>
      </c>
      <c r="BC18" s="17" t="s">
        <v>180</v>
      </c>
      <c r="BD18" s="17"/>
      <c r="BE18" s="17" t="s">
        <v>156</v>
      </c>
      <c r="BF18" s="17" t="s">
        <v>212</v>
      </c>
      <c r="BG18" s="17" t="s">
        <v>150</v>
      </c>
      <c r="BH18" s="17"/>
      <c r="BI18" s="21" t="s">
        <v>181</v>
      </c>
      <c r="BJ18" s="17"/>
      <c r="BK18" s="17"/>
      <c r="BL18" s="17"/>
      <c r="BM18" s="17"/>
      <c r="BN18" s="17">
        <v>0.13</v>
      </c>
      <c r="BO18" s="17"/>
      <c r="BP18" s="17" t="s">
        <v>213</v>
      </c>
      <c r="BQ18" s="17" t="s">
        <v>214</v>
      </c>
      <c r="BR18" s="17" t="s">
        <v>215</v>
      </c>
      <c r="BS18" s="17" t="s">
        <v>216</v>
      </c>
      <c r="BT18">
        <v>478.52</v>
      </c>
      <c r="BU18" t="s">
        <v>201</v>
      </c>
      <c r="BV18" t="s">
        <v>202</v>
      </c>
    </row>
    <row r="19" spans="1:74">
      <c r="A19" s="17">
        <v>169444</v>
      </c>
      <c r="B19" s="17" t="s">
        <v>150</v>
      </c>
      <c r="C19" s="17" t="s">
        <v>219</v>
      </c>
      <c r="D19" s="17"/>
      <c r="E19" s="17" t="s">
        <v>220</v>
      </c>
      <c r="F19" s="17" t="s">
        <v>152</v>
      </c>
      <c r="G19" s="17" t="s">
        <v>19</v>
      </c>
      <c r="H19" s="17" t="s">
        <v>24</v>
      </c>
      <c r="I19" s="17" t="s">
        <v>25</v>
      </c>
      <c r="J19" s="17" t="s">
        <v>211</v>
      </c>
      <c r="K19" s="22">
        <v>24</v>
      </c>
      <c r="L19" s="22">
        <v>24</v>
      </c>
      <c r="M19" s="17">
        <v>1</v>
      </c>
      <c r="N19" s="17"/>
      <c r="O19" s="17">
        <v>0</v>
      </c>
      <c r="P19" s="17"/>
      <c r="Q19" s="17"/>
      <c r="R19" s="17"/>
      <c r="S19" s="17"/>
      <c r="T19" s="17">
        <v>0</v>
      </c>
      <c r="U19" s="17"/>
      <c r="V19" s="17"/>
      <c r="W19" s="17"/>
      <c r="X19" s="17">
        <v>0</v>
      </c>
      <c r="Y19" s="17"/>
      <c r="Z19" s="17"/>
      <c r="AA19" s="22">
        <v>95.58</v>
      </c>
      <c r="AB19" s="21">
        <v>12.42</v>
      </c>
      <c r="AC19" s="21">
        <v>108</v>
      </c>
      <c r="AD19" s="17"/>
      <c r="AE19" s="17"/>
      <c r="AF19" s="17"/>
      <c r="AG19" s="22">
        <v>17.66</v>
      </c>
      <c r="AH19" s="22">
        <v>16.66</v>
      </c>
      <c r="AI19" s="22">
        <v>1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 t="s">
        <v>154</v>
      </c>
      <c r="AX19" s="22">
        <v>84.9734812950463</v>
      </c>
      <c r="AY19" s="22">
        <v>0</v>
      </c>
      <c r="AZ19" s="22">
        <v>0</v>
      </c>
      <c r="BA19" s="22">
        <v>95.0921234476605</v>
      </c>
      <c r="BB19" s="22">
        <v>84.9734812950463</v>
      </c>
      <c r="BC19" s="17" t="s">
        <v>180</v>
      </c>
      <c r="BD19" s="17"/>
      <c r="BE19" s="17" t="s">
        <v>156</v>
      </c>
      <c r="BF19" s="17" t="s">
        <v>212</v>
      </c>
      <c r="BG19" s="17" t="s">
        <v>150</v>
      </c>
      <c r="BH19" s="17"/>
      <c r="BI19" s="21" t="s">
        <v>181</v>
      </c>
      <c r="BJ19" s="17"/>
      <c r="BK19" s="17"/>
      <c r="BL19" s="17"/>
      <c r="BM19" s="17"/>
      <c r="BN19" s="17">
        <v>0.13</v>
      </c>
      <c r="BO19" s="17"/>
      <c r="BP19" s="17" t="s">
        <v>213</v>
      </c>
      <c r="BQ19" s="17" t="s">
        <v>214</v>
      </c>
      <c r="BR19" s="17" t="s">
        <v>215</v>
      </c>
      <c r="BS19" s="17" t="s">
        <v>216</v>
      </c>
      <c r="BT19">
        <v>478.52</v>
      </c>
      <c r="BU19" t="s">
        <v>201</v>
      </c>
      <c r="BV19" t="s">
        <v>202</v>
      </c>
    </row>
    <row r="20" spans="1:74">
      <c r="A20" s="17">
        <v>169445</v>
      </c>
      <c r="B20" s="17" t="s">
        <v>150</v>
      </c>
      <c r="C20" s="17" t="s">
        <v>221</v>
      </c>
      <c r="D20" s="17"/>
      <c r="E20" s="17" t="s">
        <v>222</v>
      </c>
      <c r="F20" s="17" t="s">
        <v>152</v>
      </c>
      <c r="G20" s="17" t="s">
        <v>19</v>
      </c>
      <c r="H20" s="17" t="s">
        <v>24</v>
      </c>
      <c r="I20" s="17" t="s">
        <v>25</v>
      </c>
      <c r="J20" s="17" t="s">
        <v>211</v>
      </c>
      <c r="K20" s="22">
        <v>24</v>
      </c>
      <c r="L20" s="22">
        <v>24</v>
      </c>
      <c r="M20" s="17">
        <v>1</v>
      </c>
      <c r="N20" s="17"/>
      <c r="O20" s="17">
        <v>0</v>
      </c>
      <c r="P20" s="17"/>
      <c r="Q20" s="17"/>
      <c r="R20" s="17"/>
      <c r="S20" s="17"/>
      <c r="T20" s="17">
        <v>0</v>
      </c>
      <c r="U20" s="17"/>
      <c r="V20" s="17"/>
      <c r="W20" s="17"/>
      <c r="X20" s="17">
        <v>0</v>
      </c>
      <c r="Y20" s="17"/>
      <c r="Z20" s="17"/>
      <c r="AA20" s="22">
        <v>95.58</v>
      </c>
      <c r="AB20" s="21">
        <v>12.42</v>
      </c>
      <c r="AC20" s="21">
        <v>108</v>
      </c>
      <c r="AD20" s="17"/>
      <c r="AE20" s="17"/>
      <c r="AF20" s="17"/>
      <c r="AG20" s="22">
        <v>17.66</v>
      </c>
      <c r="AH20" s="22">
        <v>16.66</v>
      </c>
      <c r="AI20" s="22">
        <v>1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 t="s">
        <v>154</v>
      </c>
      <c r="AX20" s="22">
        <v>84.9734812950463</v>
      </c>
      <c r="AY20" s="22">
        <v>0</v>
      </c>
      <c r="AZ20" s="22">
        <v>0</v>
      </c>
      <c r="BA20" s="22">
        <v>95.0921234476605</v>
      </c>
      <c r="BB20" s="22">
        <v>84.9734812950463</v>
      </c>
      <c r="BC20" s="17" t="s">
        <v>180</v>
      </c>
      <c r="BD20" s="17"/>
      <c r="BE20" s="17" t="s">
        <v>156</v>
      </c>
      <c r="BF20" s="17" t="s">
        <v>212</v>
      </c>
      <c r="BG20" s="17" t="s">
        <v>150</v>
      </c>
      <c r="BH20" s="17"/>
      <c r="BI20" s="21" t="s">
        <v>181</v>
      </c>
      <c r="BJ20" s="17"/>
      <c r="BK20" s="17"/>
      <c r="BL20" s="17"/>
      <c r="BM20" s="17"/>
      <c r="BN20" s="17">
        <v>0.13</v>
      </c>
      <c r="BO20" s="17"/>
      <c r="BP20" s="17" t="s">
        <v>213</v>
      </c>
      <c r="BQ20" s="17" t="s">
        <v>214</v>
      </c>
      <c r="BR20" s="17" t="s">
        <v>215</v>
      </c>
      <c r="BS20" s="17" t="s">
        <v>216</v>
      </c>
      <c r="BT20">
        <v>478.52</v>
      </c>
      <c r="BU20" t="s">
        <v>201</v>
      </c>
      <c r="BV20" t="s">
        <v>202</v>
      </c>
    </row>
    <row r="21" spans="1:74">
      <c r="A21" s="17">
        <v>169446</v>
      </c>
      <c r="B21" s="17" t="s">
        <v>150</v>
      </c>
      <c r="C21" s="17" t="s">
        <v>223</v>
      </c>
      <c r="D21" s="17"/>
      <c r="E21" s="17" t="s">
        <v>224</v>
      </c>
      <c r="F21" s="17" t="s">
        <v>152</v>
      </c>
      <c r="G21" s="17" t="s">
        <v>19</v>
      </c>
      <c r="H21" s="17" t="s">
        <v>24</v>
      </c>
      <c r="I21" s="17" t="s">
        <v>25</v>
      </c>
      <c r="J21" s="17" t="s">
        <v>211</v>
      </c>
      <c r="K21" s="22">
        <v>24</v>
      </c>
      <c r="L21" s="22">
        <v>24</v>
      </c>
      <c r="M21" s="17">
        <v>1</v>
      </c>
      <c r="N21" s="17"/>
      <c r="O21" s="17">
        <v>0</v>
      </c>
      <c r="P21" s="17"/>
      <c r="Q21" s="17"/>
      <c r="R21" s="17"/>
      <c r="S21" s="17"/>
      <c r="T21" s="17">
        <v>0</v>
      </c>
      <c r="U21" s="17"/>
      <c r="V21" s="17"/>
      <c r="W21" s="17"/>
      <c r="X21" s="17">
        <v>0</v>
      </c>
      <c r="Y21" s="17"/>
      <c r="Z21" s="17"/>
      <c r="AA21" s="22">
        <v>95.58</v>
      </c>
      <c r="AB21" s="21">
        <v>12.42</v>
      </c>
      <c r="AC21" s="21">
        <v>108</v>
      </c>
      <c r="AD21" s="17"/>
      <c r="AE21" s="17"/>
      <c r="AF21" s="17"/>
      <c r="AG21" s="22">
        <v>17.66</v>
      </c>
      <c r="AH21" s="22">
        <v>16.66</v>
      </c>
      <c r="AI21" s="22">
        <v>1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 t="s">
        <v>154</v>
      </c>
      <c r="AX21" s="22">
        <v>84.9734812950463</v>
      </c>
      <c r="AY21" s="22">
        <v>0</v>
      </c>
      <c r="AZ21" s="22">
        <v>0</v>
      </c>
      <c r="BA21" s="22">
        <v>95.0921234476605</v>
      </c>
      <c r="BB21" s="22">
        <v>84.9734812950463</v>
      </c>
      <c r="BC21" s="17" t="s">
        <v>180</v>
      </c>
      <c r="BD21" s="17"/>
      <c r="BE21" s="17" t="s">
        <v>156</v>
      </c>
      <c r="BF21" s="17" t="s">
        <v>212</v>
      </c>
      <c r="BG21" s="17" t="s">
        <v>150</v>
      </c>
      <c r="BH21" s="17"/>
      <c r="BI21" s="21" t="s">
        <v>181</v>
      </c>
      <c r="BJ21" s="17"/>
      <c r="BK21" s="17"/>
      <c r="BL21" s="17"/>
      <c r="BM21" s="17"/>
      <c r="BN21" s="17">
        <v>0.13</v>
      </c>
      <c r="BO21" s="17"/>
      <c r="BP21" s="17" t="s">
        <v>213</v>
      </c>
      <c r="BQ21" s="17" t="s">
        <v>214</v>
      </c>
      <c r="BR21" s="17" t="s">
        <v>215</v>
      </c>
      <c r="BS21" s="17" t="s">
        <v>216</v>
      </c>
      <c r="BT21">
        <v>478.52</v>
      </c>
      <c r="BU21" t="s">
        <v>201</v>
      </c>
      <c r="BV21" t="s">
        <v>202</v>
      </c>
    </row>
    <row r="22" spans="1:74">
      <c r="A22" s="17">
        <v>169447</v>
      </c>
      <c r="B22" s="17" t="s">
        <v>150</v>
      </c>
      <c r="C22" s="17" t="s">
        <v>225</v>
      </c>
      <c r="D22" s="17"/>
      <c r="E22" s="17" t="s">
        <v>226</v>
      </c>
      <c r="F22" s="17" t="s">
        <v>152</v>
      </c>
      <c r="G22" s="17" t="s">
        <v>19</v>
      </c>
      <c r="H22" s="17" t="s">
        <v>24</v>
      </c>
      <c r="I22" s="17" t="s">
        <v>25</v>
      </c>
      <c r="J22" s="17" t="s">
        <v>211</v>
      </c>
      <c r="K22" s="22">
        <v>24</v>
      </c>
      <c r="L22" s="22">
        <v>24</v>
      </c>
      <c r="M22" s="17">
        <v>1</v>
      </c>
      <c r="N22" s="17"/>
      <c r="O22" s="17">
        <v>0</v>
      </c>
      <c r="P22" s="17"/>
      <c r="Q22" s="17"/>
      <c r="R22" s="17"/>
      <c r="S22" s="17"/>
      <c r="T22" s="17">
        <v>0</v>
      </c>
      <c r="U22" s="17"/>
      <c r="V22" s="17"/>
      <c r="W22" s="17"/>
      <c r="X22" s="17">
        <v>0</v>
      </c>
      <c r="Y22" s="17"/>
      <c r="Z22" s="17"/>
      <c r="AA22" s="22">
        <v>95.58</v>
      </c>
      <c r="AB22" s="21">
        <v>12.42</v>
      </c>
      <c r="AC22" s="21">
        <v>108</v>
      </c>
      <c r="AD22" s="17"/>
      <c r="AE22" s="17"/>
      <c r="AF22" s="17"/>
      <c r="AG22" s="22">
        <v>17.66</v>
      </c>
      <c r="AH22" s="22">
        <v>16.66</v>
      </c>
      <c r="AI22" s="22">
        <v>1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 t="s">
        <v>154</v>
      </c>
      <c r="AX22" s="22">
        <v>84.9734812950463</v>
      </c>
      <c r="AY22" s="22">
        <v>0</v>
      </c>
      <c r="AZ22" s="22">
        <v>0</v>
      </c>
      <c r="BA22" s="22">
        <v>95.0921234476605</v>
      </c>
      <c r="BB22" s="22">
        <v>84.9734812950463</v>
      </c>
      <c r="BC22" s="17" t="s">
        <v>180</v>
      </c>
      <c r="BD22" s="17"/>
      <c r="BE22" s="17" t="s">
        <v>156</v>
      </c>
      <c r="BF22" s="17" t="s">
        <v>212</v>
      </c>
      <c r="BG22" s="17" t="s">
        <v>150</v>
      </c>
      <c r="BH22" s="17"/>
      <c r="BI22" s="21" t="s">
        <v>181</v>
      </c>
      <c r="BJ22" s="17"/>
      <c r="BK22" s="17"/>
      <c r="BL22" s="17"/>
      <c r="BM22" s="17"/>
      <c r="BN22" s="17">
        <v>0.13</v>
      </c>
      <c r="BO22" s="17"/>
      <c r="BP22" s="17" t="s">
        <v>213</v>
      </c>
      <c r="BQ22" s="17" t="s">
        <v>214</v>
      </c>
      <c r="BR22" s="17" t="s">
        <v>215</v>
      </c>
      <c r="BS22" s="17" t="s">
        <v>216</v>
      </c>
      <c r="BT22">
        <v>478.52</v>
      </c>
      <c r="BU22" t="s">
        <v>201</v>
      </c>
      <c r="BV22" t="s">
        <v>202</v>
      </c>
    </row>
    <row r="23" spans="1:74">
      <c r="A23" s="17">
        <v>169448</v>
      </c>
      <c r="B23" s="17" t="s">
        <v>150</v>
      </c>
      <c r="C23" s="17" t="s">
        <v>227</v>
      </c>
      <c r="D23" s="17"/>
      <c r="E23" s="17" t="s">
        <v>228</v>
      </c>
      <c r="F23" s="17" t="s">
        <v>152</v>
      </c>
      <c r="G23" s="17" t="s">
        <v>19</v>
      </c>
      <c r="H23" s="17" t="s">
        <v>24</v>
      </c>
      <c r="I23" s="17" t="s">
        <v>25</v>
      </c>
      <c r="J23" s="17" t="s">
        <v>211</v>
      </c>
      <c r="K23" s="22">
        <v>24</v>
      </c>
      <c r="L23" s="22">
        <v>24</v>
      </c>
      <c r="M23" s="17">
        <v>1</v>
      </c>
      <c r="N23" s="17"/>
      <c r="O23" s="17">
        <v>0</v>
      </c>
      <c r="P23" s="17"/>
      <c r="Q23" s="17"/>
      <c r="R23" s="17"/>
      <c r="S23" s="17"/>
      <c r="T23" s="17">
        <v>0</v>
      </c>
      <c r="U23" s="17"/>
      <c r="V23" s="17"/>
      <c r="W23" s="17"/>
      <c r="X23" s="17">
        <v>0</v>
      </c>
      <c r="Y23" s="17"/>
      <c r="Z23" s="17"/>
      <c r="AA23" s="22">
        <v>95.58</v>
      </c>
      <c r="AB23" s="21">
        <v>12.42</v>
      </c>
      <c r="AC23" s="21">
        <v>108</v>
      </c>
      <c r="AD23" s="17"/>
      <c r="AE23" s="17"/>
      <c r="AF23" s="17"/>
      <c r="AG23" s="22">
        <v>17.66</v>
      </c>
      <c r="AH23" s="22">
        <v>16.66</v>
      </c>
      <c r="AI23" s="22">
        <v>1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 t="s">
        <v>154</v>
      </c>
      <c r="AX23" s="22">
        <v>84.9734812950463</v>
      </c>
      <c r="AY23" s="22">
        <v>0</v>
      </c>
      <c r="AZ23" s="22">
        <v>0</v>
      </c>
      <c r="BA23" s="22">
        <v>95.0921234476605</v>
      </c>
      <c r="BB23" s="22">
        <v>84.9734812950463</v>
      </c>
      <c r="BC23" s="17" t="s">
        <v>180</v>
      </c>
      <c r="BD23" s="17"/>
      <c r="BE23" s="17" t="s">
        <v>156</v>
      </c>
      <c r="BF23" s="17" t="s">
        <v>212</v>
      </c>
      <c r="BG23" s="17" t="s">
        <v>150</v>
      </c>
      <c r="BH23" s="17"/>
      <c r="BI23" s="21" t="s">
        <v>181</v>
      </c>
      <c r="BJ23" s="17"/>
      <c r="BK23" s="17"/>
      <c r="BL23" s="17"/>
      <c r="BM23" s="17"/>
      <c r="BN23" s="17">
        <v>0.13</v>
      </c>
      <c r="BO23" s="17"/>
      <c r="BP23" s="17" t="s">
        <v>213</v>
      </c>
      <c r="BQ23" s="17" t="s">
        <v>214</v>
      </c>
      <c r="BR23" s="17" t="s">
        <v>215</v>
      </c>
      <c r="BS23" s="17" t="s">
        <v>216</v>
      </c>
      <c r="BT23">
        <v>478.52</v>
      </c>
      <c r="BU23" t="s">
        <v>201</v>
      </c>
      <c r="BV23" t="s">
        <v>202</v>
      </c>
    </row>
    <row r="24" spans="1:74">
      <c r="A24" s="17">
        <v>169449</v>
      </c>
      <c r="B24" s="17" t="s">
        <v>150</v>
      </c>
      <c r="C24" s="17" t="s">
        <v>229</v>
      </c>
      <c r="D24" s="17"/>
      <c r="E24" s="17" t="s">
        <v>230</v>
      </c>
      <c r="F24" s="17" t="s">
        <v>152</v>
      </c>
      <c r="G24" s="17" t="s">
        <v>19</v>
      </c>
      <c r="H24" s="17" t="s">
        <v>24</v>
      </c>
      <c r="I24" s="17" t="s">
        <v>25</v>
      </c>
      <c r="J24" s="17" t="s">
        <v>211</v>
      </c>
      <c r="K24" s="22">
        <v>24</v>
      </c>
      <c r="L24" s="22">
        <v>24</v>
      </c>
      <c r="M24" s="17">
        <v>1</v>
      </c>
      <c r="N24" s="17"/>
      <c r="O24" s="17">
        <v>0</v>
      </c>
      <c r="P24" s="17"/>
      <c r="Q24" s="17"/>
      <c r="R24" s="17"/>
      <c r="S24" s="17"/>
      <c r="T24" s="17">
        <v>0</v>
      </c>
      <c r="U24" s="17"/>
      <c r="V24" s="17"/>
      <c r="W24" s="17"/>
      <c r="X24" s="17">
        <v>0</v>
      </c>
      <c r="Y24" s="17"/>
      <c r="Z24" s="17"/>
      <c r="AA24" s="22">
        <v>95.58</v>
      </c>
      <c r="AB24" s="21">
        <v>12.42</v>
      </c>
      <c r="AC24" s="21">
        <v>108</v>
      </c>
      <c r="AD24" s="17"/>
      <c r="AE24" s="17"/>
      <c r="AF24" s="17"/>
      <c r="AG24" s="22">
        <v>17.66</v>
      </c>
      <c r="AH24" s="22">
        <v>16.66</v>
      </c>
      <c r="AI24" s="22">
        <v>1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 t="s">
        <v>154</v>
      </c>
      <c r="AX24" s="22">
        <v>84.9734812950463</v>
      </c>
      <c r="AY24" s="22">
        <v>0</v>
      </c>
      <c r="AZ24" s="22">
        <v>0</v>
      </c>
      <c r="BA24" s="22">
        <v>95.0921234476605</v>
      </c>
      <c r="BB24" s="22">
        <v>84.9734812950463</v>
      </c>
      <c r="BC24" s="17" t="s">
        <v>180</v>
      </c>
      <c r="BD24" s="17"/>
      <c r="BE24" s="17" t="s">
        <v>156</v>
      </c>
      <c r="BF24" s="17" t="s">
        <v>212</v>
      </c>
      <c r="BG24" s="17" t="s">
        <v>150</v>
      </c>
      <c r="BH24" s="17"/>
      <c r="BI24" s="21" t="s">
        <v>181</v>
      </c>
      <c r="BJ24" s="17"/>
      <c r="BK24" s="17"/>
      <c r="BL24" s="17"/>
      <c r="BM24" s="17"/>
      <c r="BN24" s="17">
        <v>0.13</v>
      </c>
      <c r="BO24" s="17"/>
      <c r="BP24" s="17" t="s">
        <v>213</v>
      </c>
      <c r="BQ24" s="17" t="s">
        <v>214</v>
      </c>
      <c r="BR24" s="17" t="s">
        <v>215</v>
      </c>
      <c r="BS24" s="17" t="s">
        <v>216</v>
      </c>
      <c r="BT24">
        <v>478.52</v>
      </c>
      <c r="BU24" t="s">
        <v>201</v>
      </c>
      <c r="BV24" t="s">
        <v>202</v>
      </c>
    </row>
    <row r="25" spans="1:74">
      <c r="A25" s="17">
        <v>184872</v>
      </c>
      <c r="B25" s="17" t="s">
        <v>150</v>
      </c>
      <c r="C25" s="17" t="s">
        <v>231</v>
      </c>
      <c r="D25" s="17"/>
      <c r="E25" s="17" t="s">
        <v>231</v>
      </c>
      <c r="F25" s="17" t="s">
        <v>152</v>
      </c>
      <c r="G25" s="17" t="s">
        <v>19</v>
      </c>
      <c r="H25" s="17" t="s">
        <v>22</v>
      </c>
      <c r="I25" s="17" t="s">
        <v>23</v>
      </c>
      <c r="J25" s="17" t="s">
        <v>153</v>
      </c>
      <c r="K25" s="22">
        <v>576</v>
      </c>
      <c r="L25" s="22">
        <v>576</v>
      </c>
      <c r="M25" s="17">
        <v>1</v>
      </c>
      <c r="N25" s="17"/>
      <c r="O25" s="17">
        <v>0</v>
      </c>
      <c r="P25" s="17"/>
      <c r="Q25" s="17"/>
      <c r="R25" s="17"/>
      <c r="S25" s="17"/>
      <c r="T25" s="17">
        <v>0</v>
      </c>
      <c r="U25" s="17"/>
      <c r="V25" s="17"/>
      <c r="W25" s="17"/>
      <c r="X25" s="17">
        <v>0</v>
      </c>
      <c r="Y25" s="17"/>
      <c r="Z25" s="17"/>
      <c r="AA25" s="22">
        <v>25318.65</v>
      </c>
      <c r="AB25" s="21">
        <v>3291.27</v>
      </c>
      <c r="AC25" s="21">
        <v>28609.92</v>
      </c>
      <c r="AD25" s="17"/>
      <c r="AE25" s="17"/>
      <c r="AF25" s="17"/>
      <c r="AG25" s="22">
        <v>0</v>
      </c>
      <c r="AH25" s="22">
        <v>0</v>
      </c>
      <c r="AI25" s="22">
        <v>0</v>
      </c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 t="s">
        <v>154</v>
      </c>
      <c r="AX25" s="22">
        <v>17682.2390725755</v>
      </c>
      <c r="AY25" s="22">
        <v>304.453382730365</v>
      </c>
      <c r="AZ25" s="22">
        <v>410.87264441352</v>
      </c>
      <c r="BA25" s="22">
        <v>20503.1661284817</v>
      </c>
      <c r="BB25" s="22">
        <v>18397.5650997194</v>
      </c>
      <c r="BC25" s="17" t="s">
        <v>180</v>
      </c>
      <c r="BD25" s="17"/>
      <c r="BE25" s="17" t="s">
        <v>156</v>
      </c>
      <c r="BF25" s="17" t="s">
        <v>157</v>
      </c>
      <c r="BG25" s="17" t="s">
        <v>150</v>
      </c>
      <c r="BH25" s="17"/>
      <c r="BI25" s="21" t="s">
        <v>181</v>
      </c>
      <c r="BJ25" s="17"/>
      <c r="BK25" s="17"/>
      <c r="BL25" s="17"/>
      <c r="BM25" s="17"/>
      <c r="BN25" s="17">
        <v>0.13</v>
      </c>
      <c r="BO25" s="17"/>
      <c r="BP25" s="17" t="s">
        <v>232</v>
      </c>
      <c r="BQ25" s="17"/>
      <c r="BR25" s="17" t="s">
        <v>165</v>
      </c>
      <c r="BS25" s="17" t="s">
        <v>161</v>
      </c>
      <c r="BT25">
        <v>57024</v>
      </c>
      <c r="BU25" t="s">
        <v>36</v>
      </c>
      <c r="BV25" t="s">
        <v>203</v>
      </c>
    </row>
    <row r="26" spans="1:74">
      <c r="A26" s="17">
        <v>184873</v>
      </c>
      <c r="B26" s="17" t="s">
        <v>150</v>
      </c>
      <c r="C26" s="17" t="s">
        <v>231</v>
      </c>
      <c r="D26" s="17"/>
      <c r="E26" s="17" t="s">
        <v>231</v>
      </c>
      <c r="F26" s="17" t="s">
        <v>152</v>
      </c>
      <c r="G26" s="17" t="s">
        <v>19</v>
      </c>
      <c r="H26" s="17" t="s">
        <v>32</v>
      </c>
      <c r="I26" s="17" t="s">
        <v>33</v>
      </c>
      <c r="J26" s="17" t="s">
        <v>153</v>
      </c>
      <c r="K26" s="22">
        <v>416</v>
      </c>
      <c r="L26" s="22">
        <v>416</v>
      </c>
      <c r="M26" s="17">
        <v>1</v>
      </c>
      <c r="N26" s="17"/>
      <c r="O26" s="17">
        <v>0</v>
      </c>
      <c r="P26" s="17"/>
      <c r="Q26" s="17"/>
      <c r="R26" s="17"/>
      <c r="S26" s="17"/>
      <c r="T26" s="17">
        <v>0</v>
      </c>
      <c r="U26" s="17"/>
      <c r="V26" s="17"/>
      <c r="W26" s="17"/>
      <c r="X26" s="17">
        <v>0</v>
      </c>
      <c r="Y26" s="17"/>
      <c r="Z26" s="17"/>
      <c r="AA26" s="22">
        <v>18366.47</v>
      </c>
      <c r="AB26" s="21">
        <v>2387.77</v>
      </c>
      <c r="AC26" s="21">
        <v>20754.24</v>
      </c>
      <c r="AD26" s="17"/>
      <c r="AE26" s="17"/>
      <c r="AF26" s="17"/>
      <c r="AG26" s="22">
        <v>0</v>
      </c>
      <c r="AH26" s="22">
        <v>0</v>
      </c>
      <c r="AI26" s="22">
        <v>0</v>
      </c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 t="s">
        <v>154</v>
      </c>
      <c r="AX26" s="22">
        <v>13633.9930077492</v>
      </c>
      <c r="AY26" s="22">
        <v>214.024267326832</v>
      </c>
      <c r="AZ26" s="22">
        <v>288.834001468802</v>
      </c>
      <c r="BA26" s="22">
        <v>15760.3871639075</v>
      </c>
      <c r="BB26" s="22">
        <v>14136.8512765447</v>
      </c>
      <c r="BC26" s="17" t="s">
        <v>180</v>
      </c>
      <c r="BD26" s="17"/>
      <c r="BE26" s="17" t="s">
        <v>156</v>
      </c>
      <c r="BF26" s="17" t="s">
        <v>157</v>
      </c>
      <c r="BG26" s="17" t="s">
        <v>150</v>
      </c>
      <c r="BH26" s="17"/>
      <c r="BI26" s="21" t="s">
        <v>181</v>
      </c>
      <c r="BJ26" s="17"/>
      <c r="BK26" s="17"/>
      <c r="BL26" s="17"/>
      <c r="BM26" s="17"/>
      <c r="BN26" s="17">
        <v>0.13</v>
      </c>
      <c r="BO26" s="17"/>
      <c r="BP26" s="17" t="s">
        <v>232</v>
      </c>
      <c r="BQ26" s="17"/>
      <c r="BR26" s="17" t="s">
        <v>166</v>
      </c>
      <c r="BS26" s="17" t="s">
        <v>161</v>
      </c>
      <c r="BT26">
        <v>41184</v>
      </c>
      <c r="BU26" t="s">
        <v>36</v>
      </c>
      <c r="BV26" t="s">
        <v>203</v>
      </c>
    </row>
    <row r="27" spans="1:74">
      <c r="A27" s="17">
        <v>184874</v>
      </c>
      <c r="B27" s="17" t="s">
        <v>150</v>
      </c>
      <c r="C27" s="17" t="s">
        <v>231</v>
      </c>
      <c r="D27" s="17"/>
      <c r="E27" s="17" t="s">
        <v>231</v>
      </c>
      <c r="F27" s="17" t="s">
        <v>152</v>
      </c>
      <c r="G27" s="17" t="s">
        <v>19</v>
      </c>
      <c r="H27" s="17" t="s">
        <v>34</v>
      </c>
      <c r="I27" s="17" t="s">
        <v>35</v>
      </c>
      <c r="J27" s="17" t="s">
        <v>153</v>
      </c>
      <c r="K27" s="22">
        <v>736</v>
      </c>
      <c r="L27" s="22">
        <v>736</v>
      </c>
      <c r="M27" s="17">
        <v>1</v>
      </c>
      <c r="N27" s="17"/>
      <c r="O27" s="17">
        <v>0</v>
      </c>
      <c r="P27" s="17"/>
      <c r="Q27" s="17"/>
      <c r="R27" s="17"/>
      <c r="S27" s="17"/>
      <c r="T27" s="17">
        <v>0</v>
      </c>
      <c r="U27" s="17"/>
      <c r="V27" s="17"/>
      <c r="W27" s="17"/>
      <c r="X27" s="17">
        <v>0</v>
      </c>
      <c r="Y27" s="17"/>
      <c r="Z27" s="17"/>
      <c r="AA27" s="22">
        <v>32494.6</v>
      </c>
      <c r="AB27" s="21">
        <v>4224.44</v>
      </c>
      <c r="AC27" s="21">
        <v>36719.04</v>
      </c>
      <c r="AD27" s="17"/>
      <c r="AE27" s="17"/>
      <c r="AF27" s="17"/>
      <c r="AG27" s="22">
        <v>0</v>
      </c>
      <c r="AH27" s="22">
        <v>0</v>
      </c>
      <c r="AI27" s="22">
        <v>0</v>
      </c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 t="s">
        <v>154</v>
      </c>
      <c r="AX27" s="22">
        <v>24192.8648001135</v>
      </c>
      <c r="AY27" s="22">
        <v>379.764643202814</v>
      </c>
      <c r="AZ27" s="22">
        <v>512.512275139904</v>
      </c>
      <c r="BA27" s="22">
        <v>27966.0280588538</v>
      </c>
      <c r="BB27" s="22">
        <v>25085.1417184563</v>
      </c>
      <c r="BC27" s="17" t="s">
        <v>180</v>
      </c>
      <c r="BD27" s="17"/>
      <c r="BE27" s="17" t="s">
        <v>156</v>
      </c>
      <c r="BF27" s="17" t="s">
        <v>157</v>
      </c>
      <c r="BG27" s="17" t="s">
        <v>150</v>
      </c>
      <c r="BH27" s="17"/>
      <c r="BI27" s="21" t="s">
        <v>181</v>
      </c>
      <c r="BJ27" s="17"/>
      <c r="BK27" s="17"/>
      <c r="BL27" s="17"/>
      <c r="BM27" s="17"/>
      <c r="BN27" s="17">
        <v>0.13</v>
      </c>
      <c r="BO27" s="17"/>
      <c r="BP27" s="17" t="s">
        <v>232</v>
      </c>
      <c r="BQ27" s="17"/>
      <c r="BR27" s="17" t="s">
        <v>166</v>
      </c>
      <c r="BS27" s="17" t="s">
        <v>161</v>
      </c>
      <c r="BT27">
        <v>72864</v>
      </c>
      <c r="BU27" t="s">
        <v>36</v>
      </c>
      <c r="BV27" t="s">
        <v>203</v>
      </c>
    </row>
    <row r="28" spans="1:74">
      <c r="A28" s="17">
        <v>184875</v>
      </c>
      <c r="B28" s="17" t="s">
        <v>150</v>
      </c>
      <c r="C28" s="17" t="s">
        <v>231</v>
      </c>
      <c r="D28" s="17"/>
      <c r="E28" s="17" t="s">
        <v>231</v>
      </c>
      <c r="F28" s="17" t="s">
        <v>152</v>
      </c>
      <c r="G28" s="17" t="s">
        <v>19</v>
      </c>
      <c r="H28" s="17" t="s">
        <v>28</v>
      </c>
      <c r="I28" s="17" t="s">
        <v>29</v>
      </c>
      <c r="J28" s="17" t="s">
        <v>153</v>
      </c>
      <c r="K28" s="22">
        <v>918</v>
      </c>
      <c r="L28" s="22">
        <v>918</v>
      </c>
      <c r="M28" s="17">
        <v>1</v>
      </c>
      <c r="N28" s="17"/>
      <c r="O28" s="17">
        <v>0</v>
      </c>
      <c r="P28" s="17"/>
      <c r="Q28" s="17"/>
      <c r="R28" s="17"/>
      <c r="S28" s="17"/>
      <c r="T28" s="17">
        <v>0</v>
      </c>
      <c r="U28" s="17"/>
      <c r="V28" s="17"/>
      <c r="W28" s="17"/>
      <c r="X28" s="17">
        <v>0</v>
      </c>
      <c r="Y28" s="17"/>
      <c r="Z28" s="17"/>
      <c r="AA28" s="22">
        <v>42154.85</v>
      </c>
      <c r="AB28" s="21">
        <v>5480.17</v>
      </c>
      <c r="AC28" s="21">
        <v>47635.02</v>
      </c>
      <c r="AD28" s="17"/>
      <c r="AE28" s="17"/>
      <c r="AF28" s="17"/>
      <c r="AG28" s="22">
        <v>0</v>
      </c>
      <c r="AH28" s="22">
        <v>0</v>
      </c>
      <c r="AI28" s="22">
        <v>0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154</v>
      </c>
      <c r="AX28" s="22">
        <v>30550.1665940135</v>
      </c>
      <c r="AY28" s="22">
        <v>474.383453639322</v>
      </c>
      <c r="AZ28" s="22">
        <v>640.19989536113</v>
      </c>
      <c r="BA28" s="22">
        <v>35302.6637810292</v>
      </c>
      <c r="BB28" s="22">
        <v>31664.7499430141</v>
      </c>
      <c r="BC28" s="17" t="s">
        <v>180</v>
      </c>
      <c r="BD28" s="17"/>
      <c r="BE28" s="17" t="s">
        <v>156</v>
      </c>
      <c r="BF28" s="17" t="s">
        <v>157</v>
      </c>
      <c r="BG28" s="17" t="s">
        <v>150</v>
      </c>
      <c r="BH28" s="17"/>
      <c r="BI28" s="21" t="s">
        <v>181</v>
      </c>
      <c r="BJ28" s="17"/>
      <c r="BK28" s="17"/>
      <c r="BL28" s="17"/>
      <c r="BM28" s="17"/>
      <c r="BN28" s="17">
        <v>0.13</v>
      </c>
      <c r="BO28" s="17"/>
      <c r="BP28" s="17" t="s">
        <v>232</v>
      </c>
      <c r="BQ28" s="17"/>
      <c r="BR28" s="17" t="s">
        <v>160</v>
      </c>
      <c r="BS28" s="17" t="s">
        <v>161</v>
      </c>
      <c r="BT28">
        <v>90882</v>
      </c>
      <c r="BU28" t="s">
        <v>36</v>
      </c>
      <c r="BV28" t="s">
        <v>203</v>
      </c>
    </row>
    <row r="29" spans="1:74">
      <c r="A29" s="17">
        <v>184876</v>
      </c>
      <c r="B29" s="17" t="s">
        <v>150</v>
      </c>
      <c r="C29" s="17" t="s">
        <v>231</v>
      </c>
      <c r="D29" s="17"/>
      <c r="E29" s="17" t="s">
        <v>231</v>
      </c>
      <c r="F29" s="17" t="s">
        <v>152</v>
      </c>
      <c r="G29" s="17" t="s">
        <v>19</v>
      </c>
      <c r="H29" s="17" t="s">
        <v>30</v>
      </c>
      <c r="I29" s="17" t="s">
        <v>31</v>
      </c>
      <c r="J29" s="17" t="s">
        <v>153</v>
      </c>
      <c r="K29" s="22">
        <v>1062</v>
      </c>
      <c r="L29" s="22">
        <v>1062</v>
      </c>
      <c r="M29" s="17">
        <v>1</v>
      </c>
      <c r="N29" s="17"/>
      <c r="O29" s="17">
        <v>0</v>
      </c>
      <c r="P29" s="17"/>
      <c r="Q29" s="17"/>
      <c r="R29" s="17"/>
      <c r="S29" s="17"/>
      <c r="T29" s="17">
        <v>0</v>
      </c>
      <c r="U29" s="17"/>
      <c r="V29" s="17"/>
      <c r="W29" s="17"/>
      <c r="X29" s="17">
        <v>0</v>
      </c>
      <c r="Y29" s="17"/>
      <c r="Z29" s="17"/>
      <c r="AA29" s="22">
        <v>48767.36</v>
      </c>
      <c r="AB29" s="21">
        <v>6339.82</v>
      </c>
      <c r="AC29" s="21">
        <v>55107.18</v>
      </c>
      <c r="AD29" s="17"/>
      <c r="AE29" s="17"/>
      <c r="AF29" s="17"/>
      <c r="AG29" s="22">
        <v>0</v>
      </c>
      <c r="AH29" s="22">
        <v>0</v>
      </c>
      <c r="AI29" s="22">
        <v>0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 t="s">
        <v>154</v>
      </c>
      <c r="AX29" s="22">
        <v>35334.1613619416</v>
      </c>
      <c r="AY29" s="22">
        <v>548.679791008701</v>
      </c>
      <c r="AZ29" s="22">
        <v>740.466040144789</v>
      </c>
      <c r="BA29" s="22">
        <v>40830.8991280751</v>
      </c>
      <c r="BB29" s="22">
        <v>36623.307193095</v>
      </c>
      <c r="BC29" s="17" t="s">
        <v>180</v>
      </c>
      <c r="BD29" s="17"/>
      <c r="BE29" s="17" t="s">
        <v>156</v>
      </c>
      <c r="BF29" s="17" t="s">
        <v>157</v>
      </c>
      <c r="BG29" s="17" t="s">
        <v>150</v>
      </c>
      <c r="BH29" s="17"/>
      <c r="BI29" s="21" t="s">
        <v>181</v>
      </c>
      <c r="BJ29" s="17"/>
      <c r="BK29" s="17"/>
      <c r="BL29" s="17"/>
      <c r="BM29" s="17"/>
      <c r="BN29" s="17">
        <v>0.13</v>
      </c>
      <c r="BO29" s="17"/>
      <c r="BP29" s="17" t="s">
        <v>232</v>
      </c>
      <c r="BQ29" s="17"/>
      <c r="BR29" s="17" t="s">
        <v>160</v>
      </c>
      <c r="BS29" s="17" t="s">
        <v>161</v>
      </c>
      <c r="BT29">
        <v>105138</v>
      </c>
      <c r="BU29" t="s">
        <v>36</v>
      </c>
      <c r="BV29" t="s">
        <v>203</v>
      </c>
    </row>
    <row r="30" spans="1:74">
      <c r="A30" s="17">
        <v>188240</v>
      </c>
      <c r="B30" s="17" t="s">
        <v>150</v>
      </c>
      <c r="C30" s="17" t="s">
        <v>233</v>
      </c>
      <c r="D30" s="17"/>
      <c r="E30" s="17" t="s">
        <v>233</v>
      </c>
      <c r="F30" s="17" t="s">
        <v>152</v>
      </c>
      <c r="G30" s="17" t="s">
        <v>19</v>
      </c>
      <c r="H30" s="17" t="s">
        <v>22</v>
      </c>
      <c r="I30" s="17" t="s">
        <v>23</v>
      </c>
      <c r="J30" s="17" t="s">
        <v>153</v>
      </c>
      <c r="K30" s="22">
        <v>288</v>
      </c>
      <c r="L30" s="22">
        <v>288</v>
      </c>
      <c r="M30" s="17">
        <v>1</v>
      </c>
      <c r="N30" s="17"/>
      <c r="O30" s="17">
        <v>0</v>
      </c>
      <c r="P30" s="17"/>
      <c r="Q30" s="17"/>
      <c r="R30" s="17"/>
      <c r="S30" s="17"/>
      <c r="T30" s="17">
        <v>0</v>
      </c>
      <c r="U30" s="17"/>
      <c r="V30" s="17"/>
      <c r="W30" s="17"/>
      <c r="X30" s="17">
        <v>0</v>
      </c>
      <c r="Y30" s="17"/>
      <c r="Z30" s="17"/>
      <c r="AA30" s="22">
        <v>12659.33</v>
      </c>
      <c r="AB30" s="21">
        <v>1645.63</v>
      </c>
      <c r="AC30" s="21">
        <v>14304.96</v>
      </c>
      <c r="AD30" s="17"/>
      <c r="AE30" s="17"/>
      <c r="AF30" s="17"/>
      <c r="AG30" s="22">
        <v>0</v>
      </c>
      <c r="AH30" s="22">
        <v>0</v>
      </c>
      <c r="AI30" s="22">
        <v>0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 t="s">
        <v>154</v>
      </c>
      <c r="AX30" s="22">
        <v>8841.11953628775</v>
      </c>
      <c r="AY30" s="22">
        <v>152.226691365183</v>
      </c>
      <c r="AZ30" s="22">
        <v>205.43632220676</v>
      </c>
      <c r="BA30" s="22">
        <v>10251.5830642408</v>
      </c>
      <c r="BB30" s="22">
        <v>9198.7825498597</v>
      </c>
      <c r="BC30" s="17" t="s">
        <v>180</v>
      </c>
      <c r="BD30" s="17"/>
      <c r="BE30" s="17" t="s">
        <v>156</v>
      </c>
      <c r="BF30" s="17" t="s">
        <v>157</v>
      </c>
      <c r="BG30" s="17" t="s">
        <v>150</v>
      </c>
      <c r="BH30" s="17"/>
      <c r="BI30" s="21" t="s">
        <v>181</v>
      </c>
      <c r="BJ30" s="17"/>
      <c r="BK30" s="17"/>
      <c r="BL30" s="17"/>
      <c r="BM30" s="17"/>
      <c r="BN30" s="17">
        <v>0.13</v>
      </c>
      <c r="BO30" s="17"/>
      <c r="BP30" s="17" t="s">
        <v>234</v>
      </c>
      <c r="BQ30" s="17"/>
      <c r="BR30" s="17" t="s">
        <v>165</v>
      </c>
      <c r="BS30" s="17" t="s">
        <v>161</v>
      </c>
      <c r="BT30">
        <v>28512</v>
      </c>
      <c r="BU30" t="s">
        <v>36</v>
      </c>
      <c r="BV30" t="s">
        <v>203</v>
      </c>
    </row>
    <row r="31" spans="1:74">
      <c r="A31" s="17">
        <v>188241</v>
      </c>
      <c r="B31" s="17" t="s">
        <v>150</v>
      </c>
      <c r="C31" s="17" t="s">
        <v>233</v>
      </c>
      <c r="D31" s="17"/>
      <c r="E31" s="17" t="s">
        <v>233</v>
      </c>
      <c r="F31" s="17" t="s">
        <v>152</v>
      </c>
      <c r="G31" s="17" t="s">
        <v>19</v>
      </c>
      <c r="H31" s="17" t="s">
        <v>32</v>
      </c>
      <c r="I31" s="17" t="s">
        <v>33</v>
      </c>
      <c r="J31" s="17" t="s">
        <v>153</v>
      </c>
      <c r="K31" s="22">
        <v>192</v>
      </c>
      <c r="L31" s="22">
        <v>192</v>
      </c>
      <c r="M31" s="17">
        <v>1</v>
      </c>
      <c r="N31" s="17"/>
      <c r="O31" s="17">
        <v>0</v>
      </c>
      <c r="P31" s="17"/>
      <c r="Q31" s="17"/>
      <c r="R31" s="17"/>
      <c r="S31" s="17"/>
      <c r="T31" s="17">
        <v>0</v>
      </c>
      <c r="U31" s="17"/>
      <c r="V31" s="17"/>
      <c r="W31" s="17"/>
      <c r="X31" s="17">
        <v>0</v>
      </c>
      <c r="Y31" s="17"/>
      <c r="Z31" s="17"/>
      <c r="AA31" s="22">
        <v>8476.83</v>
      </c>
      <c r="AB31" s="21">
        <v>1102.05</v>
      </c>
      <c r="AC31" s="21">
        <v>9578.88</v>
      </c>
      <c r="AD31" s="17"/>
      <c r="AE31" s="17"/>
      <c r="AF31" s="17"/>
      <c r="AG31" s="22">
        <v>0</v>
      </c>
      <c r="AH31" s="22">
        <v>0</v>
      </c>
      <c r="AI31" s="22">
        <v>0</v>
      </c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 t="s">
        <v>154</v>
      </c>
      <c r="AX31" s="22">
        <v>6292.61215742269</v>
      </c>
      <c r="AY31" s="22">
        <v>98.7804310739227</v>
      </c>
      <c r="AZ31" s="22">
        <v>133.308000677909</v>
      </c>
      <c r="BA31" s="22">
        <v>7274.0248448804</v>
      </c>
      <c r="BB31" s="22">
        <v>6524.7005891745</v>
      </c>
      <c r="BC31" s="17" t="s">
        <v>180</v>
      </c>
      <c r="BD31" s="17"/>
      <c r="BE31" s="17" t="s">
        <v>156</v>
      </c>
      <c r="BF31" s="17" t="s">
        <v>157</v>
      </c>
      <c r="BG31" s="17" t="s">
        <v>150</v>
      </c>
      <c r="BH31" s="17"/>
      <c r="BI31" s="21" t="s">
        <v>181</v>
      </c>
      <c r="BJ31" s="17"/>
      <c r="BK31" s="17"/>
      <c r="BL31" s="17"/>
      <c r="BM31" s="17"/>
      <c r="BN31" s="17">
        <v>0.13</v>
      </c>
      <c r="BO31" s="17"/>
      <c r="BP31" s="17" t="s">
        <v>234</v>
      </c>
      <c r="BQ31" s="17"/>
      <c r="BR31" s="17" t="s">
        <v>166</v>
      </c>
      <c r="BS31" s="17" t="s">
        <v>161</v>
      </c>
      <c r="BT31">
        <v>19008</v>
      </c>
      <c r="BU31" t="s">
        <v>36</v>
      </c>
      <c r="BV31" t="s">
        <v>203</v>
      </c>
    </row>
    <row r="32" spans="1:74">
      <c r="A32" s="17">
        <v>188242</v>
      </c>
      <c r="B32" s="17" t="s">
        <v>150</v>
      </c>
      <c r="C32" s="17" t="s">
        <v>233</v>
      </c>
      <c r="D32" s="17"/>
      <c r="E32" s="17" t="s">
        <v>233</v>
      </c>
      <c r="F32" s="17" t="s">
        <v>152</v>
      </c>
      <c r="G32" s="17" t="s">
        <v>19</v>
      </c>
      <c r="H32" s="17" t="s">
        <v>34</v>
      </c>
      <c r="I32" s="17" t="s">
        <v>35</v>
      </c>
      <c r="J32" s="17" t="s">
        <v>153</v>
      </c>
      <c r="K32" s="22">
        <v>352</v>
      </c>
      <c r="L32" s="22">
        <v>352</v>
      </c>
      <c r="M32" s="17">
        <v>1</v>
      </c>
      <c r="N32" s="17"/>
      <c r="O32" s="17">
        <v>0</v>
      </c>
      <c r="P32" s="17"/>
      <c r="Q32" s="17"/>
      <c r="R32" s="17"/>
      <c r="S32" s="17"/>
      <c r="T32" s="17">
        <v>0</v>
      </c>
      <c r="U32" s="17"/>
      <c r="V32" s="17"/>
      <c r="W32" s="17"/>
      <c r="X32" s="17">
        <v>0</v>
      </c>
      <c r="Y32" s="17"/>
      <c r="Z32" s="17"/>
      <c r="AA32" s="22">
        <v>15540.9</v>
      </c>
      <c r="AB32" s="21">
        <v>2020.38</v>
      </c>
      <c r="AC32" s="21">
        <v>17561.28</v>
      </c>
      <c r="AD32" s="17"/>
      <c r="AE32" s="17"/>
      <c r="AF32" s="17"/>
      <c r="AG32" s="22">
        <v>0</v>
      </c>
      <c r="AH32" s="22">
        <v>0</v>
      </c>
      <c r="AI32" s="22">
        <v>0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 t="s">
        <v>154</v>
      </c>
      <c r="AX32" s="22">
        <v>11570.500556576</v>
      </c>
      <c r="AY32" s="22">
        <v>181.626568488302</v>
      </c>
      <c r="AZ32" s="22">
        <v>245.114566371258</v>
      </c>
      <c r="BA32" s="22">
        <v>13375.0568977127</v>
      </c>
      <c r="BB32" s="22">
        <v>11997.2416914356</v>
      </c>
      <c r="BC32" s="17" t="s">
        <v>180</v>
      </c>
      <c r="BD32" s="17"/>
      <c r="BE32" s="17" t="s">
        <v>156</v>
      </c>
      <c r="BF32" s="17" t="s">
        <v>157</v>
      </c>
      <c r="BG32" s="17" t="s">
        <v>150</v>
      </c>
      <c r="BH32" s="17"/>
      <c r="BI32" s="21" t="s">
        <v>181</v>
      </c>
      <c r="BJ32" s="17"/>
      <c r="BK32" s="17"/>
      <c r="BL32" s="17"/>
      <c r="BM32" s="17"/>
      <c r="BN32" s="17">
        <v>0.13</v>
      </c>
      <c r="BO32" s="17"/>
      <c r="BP32" s="17" t="s">
        <v>234</v>
      </c>
      <c r="BQ32" s="17"/>
      <c r="BR32" s="17" t="s">
        <v>166</v>
      </c>
      <c r="BS32" s="17" t="s">
        <v>161</v>
      </c>
      <c r="BT32">
        <v>34848</v>
      </c>
      <c r="BU32" t="s">
        <v>36</v>
      </c>
      <c r="BV32" t="s">
        <v>203</v>
      </c>
    </row>
    <row r="33" spans="1:74">
      <c r="A33" s="17">
        <v>188330</v>
      </c>
      <c r="B33" s="17" t="s">
        <v>150</v>
      </c>
      <c r="C33" s="17" t="s">
        <v>235</v>
      </c>
      <c r="D33" s="17"/>
      <c r="E33" s="17" t="s">
        <v>235</v>
      </c>
      <c r="F33" s="17" t="s">
        <v>152</v>
      </c>
      <c r="G33" s="17" t="s">
        <v>19</v>
      </c>
      <c r="H33" s="17" t="s">
        <v>22</v>
      </c>
      <c r="I33" s="17" t="s">
        <v>23</v>
      </c>
      <c r="J33" s="17" t="s">
        <v>153</v>
      </c>
      <c r="K33" s="22">
        <v>704</v>
      </c>
      <c r="L33" s="22">
        <v>704</v>
      </c>
      <c r="M33" s="17">
        <v>1</v>
      </c>
      <c r="N33" s="17"/>
      <c r="O33" s="17">
        <v>0</v>
      </c>
      <c r="P33" s="17"/>
      <c r="Q33" s="17"/>
      <c r="R33" s="17"/>
      <c r="S33" s="17"/>
      <c r="T33" s="17">
        <v>0</v>
      </c>
      <c r="U33" s="17"/>
      <c r="V33" s="17"/>
      <c r="W33" s="17"/>
      <c r="X33" s="17">
        <v>0</v>
      </c>
      <c r="Y33" s="17"/>
      <c r="Z33" s="17"/>
      <c r="AA33" s="22">
        <v>30945.02</v>
      </c>
      <c r="AB33" s="21">
        <v>4022.66</v>
      </c>
      <c r="AC33" s="21">
        <v>34967.68</v>
      </c>
      <c r="AD33" s="17"/>
      <c r="AE33" s="17"/>
      <c r="AF33" s="17"/>
      <c r="AG33" s="22">
        <v>0</v>
      </c>
      <c r="AH33" s="22">
        <v>0</v>
      </c>
      <c r="AI33" s="22">
        <v>0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 t="s">
        <v>154</v>
      </c>
      <c r="AX33" s="22">
        <v>21611.6255331478</v>
      </c>
      <c r="AY33" s="22">
        <v>372.10969000378</v>
      </c>
      <c r="AZ33" s="22">
        <v>502.177676505413</v>
      </c>
      <c r="BA33" s="22">
        <v>25059.4252681443</v>
      </c>
      <c r="BB33" s="22">
        <v>22485.912899657</v>
      </c>
      <c r="BC33" s="17" t="s">
        <v>180</v>
      </c>
      <c r="BD33" s="17"/>
      <c r="BE33" s="17" t="s">
        <v>156</v>
      </c>
      <c r="BF33" s="17" t="s">
        <v>157</v>
      </c>
      <c r="BG33" s="17" t="s">
        <v>150</v>
      </c>
      <c r="BH33" s="17"/>
      <c r="BI33" s="21" t="s">
        <v>181</v>
      </c>
      <c r="BJ33" s="17"/>
      <c r="BK33" s="17"/>
      <c r="BL33" s="17"/>
      <c r="BM33" s="17"/>
      <c r="BN33" s="17">
        <v>0.13</v>
      </c>
      <c r="BO33" s="17"/>
      <c r="BP33" s="17" t="s">
        <v>236</v>
      </c>
      <c r="BQ33" s="17"/>
      <c r="BR33" s="17" t="s">
        <v>165</v>
      </c>
      <c r="BS33" s="17" t="s">
        <v>161</v>
      </c>
      <c r="BT33">
        <v>69696</v>
      </c>
      <c r="BU33" t="s">
        <v>36</v>
      </c>
      <c r="BV33" t="s">
        <v>203</v>
      </c>
    </row>
    <row r="34" spans="1:74">
      <c r="A34" s="17">
        <v>188331</v>
      </c>
      <c r="B34" s="17" t="s">
        <v>150</v>
      </c>
      <c r="C34" s="17" t="s">
        <v>235</v>
      </c>
      <c r="D34" s="17"/>
      <c r="E34" s="17" t="s">
        <v>235</v>
      </c>
      <c r="F34" s="17" t="s">
        <v>152</v>
      </c>
      <c r="G34" s="17" t="s">
        <v>19</v>
      </c>
      <c r="H34" s="17" t="s">
        <v>32</v>
      </c>
      <c r="I34" s="17" t="s">
        <v>33</v>
      </c>
      <c r="J34" s="17" t="s">
        <v>153</v>
      </c>
      <c r="K34" s="22">
        <v>480</v>
      </c>
      <c r="L34" s="22">
        <v>480</v>
      </c>
      <c r="M34" s="17">
        <v>1</v>
      </c>
      <c r="N34" s="17"/>
      <c r="O34" s="17">
        <v>0</v>
      </c>
      <c r="P34" s="17"/>
      <c r="Q34" s="17"/>
      <c r="R34" s="17"/>
      <c r="S34" s="17"/>
      <c r="T34" s="17">
        <v>0</v>
      </c>
      <c r="U34" s="17"/>
      <c r="V34" s="17"/>
      <c r="W34" s="17"/>
      <c r="X34" s="17">
        <v>0</v>
      </c>
      <c r="Y34" s="17"/>
      <c r="Z34" s="17"/>
      <c r="AA34" s="22">
        <v>21192.08</v>
      </c>
      <c r="AB34" s="21">
        <v>2755.12</v>
      </c>
      <c r="AC34" s="21">
        <v>23947.2</v>
      </c>
      <c r="AD34" s="17"/>
      <c r="AE34" s="17"/>
      <c r="AF34" s="17"/>
      <c r="AG34" s="22">
        <v>0</v>
      </c>
      <c r="AH34" s="22">
        <v>0</v>
      </c>
      <c r="AI34" s="22">
        <v>0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 t="s">
        <v>154</v>
      </c>
      <c r="AX34" s="22">
        <v>15731.5303935567</v>
      </c>
      <c r="AY34" s="22">
        <v>246.951077684807</v>
      </c>
      <c r="AZ34" s="22">
        <v>333.270001694772</v>
      </c>
      <c r="BA34" s="22">
        <v>18185.062112201</v>
      </c>
      <c r="BB34" s="22">
        <v>16311.7514729362</v>
      </c>
      <c r="BC34" s="17" t="s">
        <v>180</v>
      </c>
      <c r="BD34" s="17"/>
      <c r="BE34" s="17" t="s">
        <v>156</v>
      </c>
      <c r="BF34" s="17" t="s">
        <v>157</v>
      </c>
      <c r="BG34" s="17" t="s">
        <v>150</v>
      </c>
      <c r="BH34" s="17"/>
      <c r="BI34" s="21" t="s">
        <v>181</v>
      </c>
      <c r="BJ34" s="17"/>
      <c r="BK34" s="17"/>
      <c r="BL34" s="17"/>
      <c r="BM34" s="17"/>
      <c r="BN34" s="17">
        <v>0.13</v>
      </c>
      <c r="BO34" s="17"/>
      <c r="BP34" s="17" t="s">
        <v>236</v>
      </c>
      <c r="BQ34" s="17"/>
      <c r="BR34" s="17" t="s">
        <v>166</v>
      </c>
      <c r="BS34" s="17" t="s">
        <v>161</v>
      </c>
      <c r="BT34">
        <v>47520</v>
      </c>
      <c r="BU34" t="s">
        <v>36</v>
      </c>
      <c r="BV34" t="s">
        <v>203</v>
      </c>
    </row>
    <row r="35" spans="1:74">
      <c r="A35" s="17">
        <v>188332</v>
      </c>
      <c r="B35" s="17" t="s">
        <v>150</v>
      </c>
      <c r="C35" s="17" t="s">
        <v>235</v>
      </c>
      <c r="D35" s="17"/>
      <c r="E35" s="17" t="s">
        <v>235</v>
      </c>
      <c r="F35" s="17" t="s">
        <v>152</v>
      </c>
      <c r="G35" s="17" t="s">
        <v>19</v>
      </c>
      <c r="H35" s="17" t="s">
        <v>34</v>
      </c>
      <c r="I35" s="17" t="s">
        <v>35</v>
      </c>
      <c r="J35" s="17" t="s">
        <v>153</v>
      </c>
      <c r="K35" s="22">
        <v>416</v>
      </c>
      <c r="L35" s="22">
        <v>416</v>
      </c>
      <c r="M35" s="17">
        <v>1</v>
      </c>
      <c r="N35" s="17"/>
      <c r="O35" s="17">
        <v>0</v>
      </c>
      <c r="P35" s="17"/>
      <c r="Q35" s="17"/>
      <c r="R35" s="17"/>
      <c r="S35" s="17"/>
      <c r="T35" s="17">
        <v>0</v>
      </c>
      <c r="U35" s="17"/>
      <c r="V35" s="17"/>
      <c r="W35" s="17"/>
      <c r="X35" s="17">
        <v>0</v>
      </c>
      <c r="Y35" s="17"/>
      <c r="Z35" s="17"/>
      <c r="AA35" s="22">
        <v>18366.51</v>
      </c>
      <c r="AB35" s="21">
        <v>2387.73</v>
      </c>
      <c r="AC35" s="21">
        <v>20754.24</v>
      </c>
      <c r="AD35" s="17"/>
      <c r="AE35" s="17"/>
      <c r="AF35" s="17"/>
      <c r="AG35" s="22">
        <v>0</v>
      </c>
      <c r="AH35" s="22">
        <v>0</v>
      </c>
      <c r="AI35" s="22">
        <v>0</v>
      </c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 t="s">
        <v>154</v>
      </c>
      <c r="AX35" s="22">
        <v>13674.2279304989</v>
      </c>
      <c r="AY35" s="22">
        <v>214.649580940721</v>
      </c>
      <c r="AZ35" s="22">
        <v>289.680851166033</v>
      </c>
      <c r="BA35" s="22">
        <v>15806.8854245695</v>
      </c>
      <c r="BB35" s="22">
        <v>14178.5583626057</v>
      </c>
      <c r="BC35" s="17" t="s">
        <v>180</v>
      </c>
      <c r="BD35" s="17"/>
      <c r="BE35" s="17" t="s">
        <v>156</v>
      </c>
      <c r="BF35" s="17" t="s">
        <v>157</v>
      </c>
      <c r="BG35" s="17" t="s">
        <v>150</v>
      </c>
      <c r="BH35" s="17"/>
      <c r="BI35" s="21" t="s">
        <v>181</v>
      </c>
      <c r="BJ35" s="17"/>
      <c r="BK35" s="17"/>
      <c r="BL35" s="17"/>
      <c r="BM35" s="17"/>
      <c r="BN35" s="17">
        <v>0.13</v>
      </c>
      <c r="BO35" s="17"/>
      <c r="BP35" s="17" t="s">
        <v>236</v>
      </c>
      <c r="BQ35" s="17"/>
      <c r="BR35" s="17" t="s">
        <v>166</v>
      </c>
      <c r="BS35" s="17" t="s">
        <v>161</v>
      </c>
      <c r="BT35">
        <v>41184</v>
      </c>
      <c r="BU35" t="s">
        <v>36</v>
      </c>
      <c r="BV35" t="s">
        <v>203</v>
      </c>
    </row>
    <row r="36" spans="1:74">
      <c r="A36" s="17">
        <v>188333</v>
      </c>
      <c r="B36" s="17" t="s">
        <v>150</v>
      </c>
      <c r="C36" s="17" t="s">
        <v>235</v>
      </c>
      <c r="D36" s="17"/>
      <c r="E36" s="17" t="s">
        <v>235</v>
      </c>
      <c r="F36" s="17" t="s">
        <v>152</v>
      </c>
      <c r="G36" s="17" t="s">
        <v>19</v>
      </c>
      <c r="H36" s="17" t="s">
        <v>34</v>
      </c>
      <c r="I36" s="17" t="s">
        <v>35</v>
      </c>
      <c r="J36" s="17" t="s">
        <v>153</v>
      </c>
      <c r="K36" s="22">
        <v>512</v>
      </c>
      <c r="L36" s="22">
        <v>512</v>
      </c>
      <c r="M36" s="17">
        <v>1</v>
      </c>
      <c r="N36" s="17"/>
      <c r="O36" s="17">
        <v>0</v>
      </c>
      <c r="P36" s="17"/>
      <c r="Q36" s="17"/>
      <c r="R36" s="17"/>
      <c r="S36" s="17"/>
      <c r="T36" s="17">
        <v>0</v>
      </c>
      <c r="U36" s="17"/>
      <c r="V36" s="17"/>
      <c r="W36" s="17"/>
      <c r="X36" s="17">
        <v>0</v>
      </c>
      <c r="Y36" s="17"/>
      <c r="Z36" s="17"/>
      <c r="AA36" s="22">
        <v>22604.94</v>
      </c>
      <c r="AB36" s="21">
        <v>2938.74</v>
      </c>
      <c r="AC36" s="21">
        <v>25543.68</v>
      </c>
      <c r="AD36" s="17"/>
      <c r="AE36" s="17"/>
      <c r="AF36" s="17"/>
      <c r="AG36" s="22">
        <v>0</v>
      </c>
      <c r="AH36" s="22">
        <v>0</v>
      </c>
      <c r="AI36" s="22">
        <v>0</v>
      </c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 t="s">
        <v>154</v>
      </c>
      <c r="AX36" s="22">
        <v>16829.8189913833</v>
      </c>
      <c r="AY36" s="22">
        <v>264.184099619349</v>
      </c>
      <c r="AZ36" s="22">
        <v>356.530278358194</v>
      </c>
      <c r="BA36" s="22">
        <v>19454.6282148548</v>
      </c>
      <c r="BB36" s="22">
        <v>17450.5333693609</v>
      </c>
      <c r="BC36" s="17" t="s">
        <v>180</v>
      </c>
      <c r="BD36" s="17"/>
      <c r="BE36" s="17" t="s">
        <v>156</v>
      </c>
      <c r="BF36" s="17" t="s">
        <v>157</v>
      </c>
      <c r="BG36" s="17" t="s">
        <v>150</v>
      </c>
      <c r="BH36" s="17"/>
      <c r="BI36" s="21" t="s">
        <v>181</v>
      </c>
      <c r="BJ36" s="17"/>
      <c r="BK36" s="17"/>
      <c r="BL36" s="17"/>
      <c r="BM36" s="17"/>
      <c r="BN36" s="17">
        <v>0.13</v>
      </c>
      <c r="BO36" s="17"/>
      <c r="BP36" s="17" t="s">
        <v>236</v>
      </c>
      <c r="BQ36" s="17"/>
      <c r="BR36" s="17" t="s">
        <v>166</v>
      </c>
      <c r="BS36" s="17" t="s">
        <v>161</v>
      </c>
      <c r="BT36">
        <v>50688</v>
      </c>
      <c r="BU36" t="s">
        <v>36</v>
      </c>
      <c r="BV36" t="s">
        <v>203</v>
      </c>
    </row>
    <row r="37" spans="1:74">
      <c r="A37" s="17">
        <v>188334</v>
      </c>
      <c r="B37" s="17" t="s">
        <v>150</v>
      </c>
      <c r="C37" s="17" t="s">
        <v>235</v>
      </c>
      <c r="D37" s="17"/>
      <c r="E37" s="17" t="s">
        <v>235</v>
      </c>
      <c r="F37" s="17" t="s">
        <v>152</v>
      </c>
      <c r="G37" s="17" t="s">
        <v>19</v>
      </c>
      <c r="H37" s="17" t="s">
        <v>28</v>
      </c>
      <c r="I37" s="17" t="s">
        <v>29</v>
      </c>
      <c r="J37" s="17" t="s">
        <v>153</v>
      </c>
      <c r="K37" s="22">
        <v>1080</v>
      </c>
      <c r="L37" s="22">
        <v>1080</v>
      </c>
      <c r="M37" s="17">
        <v>1</v>
      </c>
      <c r="N37" s="17"/>
      <c r="O37" s="17">
        <v>0</v>
      </c>
      <c r="P37" s="17"/>
      <c r="Q37" s="17"/>
      <c r="R37" s="17"/>
      <c r="S37" s="17"/>
      <c r="T37" s="17">
        <v>0</v>
      </c>
      <c r="U37" s="17"/>
      <c r="V37" s="17"/>
      <c r="W37" s="17"/>
      <c r="X37" s="17">
        <v>0</v>
      </c>
      <c r="Y37" s="17"/>
      <c r="Z37" s="17"/>
      <c r="AA37" s="22">
        <v>49593.94</v>
      </c>
      <c r="AB37" s="21">
        <v>6447.25999999999</v>
      </c>
      <c r="AC37" s="21">
        <v>56041.2</v>
      </c>
      <c r="AD37" s="17"/>
      <c r="AE37" s="17"/>
      <c r="AF37" s="17"/>
      <c r="AG37" s="22">
        <v>0</v>
      </c>
      <c r="AH37" s="22">
        <v>0</v>
      </c>
      <c r="AI37" s="22">
        <v>0</v>
      </c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 t="s">
        <v>154</v>
      </c>
      <c r="AX37" s="22">
        <v>35941.3724635453</v>
      </c>
      <c r="AY37" s="22">
        <v>558.098180752143</v>
      </c>
      <c r="AZ37" s="22">
        <v>753.176347483683</v>
      </c>
      <c r="BA37" s="22">
        <v>41532.5456247403</v>
      </c>
      <c r="BB37" s="22">
        <v>37252.6469917812</v>
      </c>
      <c r="BC37" s="17" t="s">
        <v>180</v>
      </c>
      <c r="BD37" s="17"/>
      <c r="BE37" s="17" t="s">
        <v>156</v>
      </c>
      <c r="BF37" s="17" t="s">
        <v>157</v>
      </c>
      <c r="BG37" s="17" t="s">
        <v>150</v>
      </c>
      <c r="BH37" s="17"/>
      <c r="BI37" s="21" t="s">
        <v>181</v>
      </c>
      <c r="BJ37" s="17"/>
      <c r="BK37" s="17"/>
      <c r="BL37" s="17"/>
      <c r="BM37" s="17"/>
      <c r="BN37" s="17">
        <v>0.13</v>
      </c>
      <c r="BO37" s="17"/>
      <c r="BP37" s="17" t="s">
        <v>236</v>
      </c>
      <c r="BQ37" s="17"/>
      <c r="BR37" s="17" t="s">
        <v>160</v>
      </c>
      <c r="BS37" s="17" t="s">
        <v>161</v>
      </c>
      <c r="BT37">
        <v>106920</v>
      </c>
      <c r="BU37" t="s">
        <v>36</v>
      </c>
      <c r="BV37" t="s">
        <v>203</v>
      </c>
    </row>
    <row r="38" spans="1:74">
      <c r="A38" s="17">
        <v>188335</v>
      </c>
      <c r="B38" s="17" t="s">
        <v>150</v>
      </c>
      <c r="C38" s="17" t="s">
        <v>235</v>
      </c>
      <c r="D38" s="17"/>
      <c r="E38" s="17" t="s">
        <v>235</v>
      </c>
      <c r="F38" s="17" t="s">
        <v>152</v>
      </c>
      <c r="G38" s="17" t="s">
        <v>19</v>
      </c>
      <c r="H38" s="17" t="s">
        <v>30</v>
      </c>
      <c r="I38" s="17" t="s">
        <v>31</v>
      </c>
      <c r="J38" s="17" t="s">
        <v>153</v>
      </c>
      <c r="K38" s="22">
        <v>1080</v>
      </c>
      <c r="L38" s="22">
        <v>1080</v>
      </c>
      <c r="M38" s="17">
        <v>1</v>
      </c>
      <c r="N38" s="17"/>
      <c r="O38" s="17">
        <v>0</v>
      </c>
      <c r="P38" s="17"/>
      <c r="Q38" s="17"/>
      <c r="R38" s="17"/>
      <c r="S38" s="17"/>
      <c r="T38" s="17">
        <v>0</v>
      </c>
      <c r="U38" s="17"/>
      <c r="V38" s="17"/>
      <c r="W38" s="17"/>
      <c r="X38" s="17">
        <v>0</v>
      </c>
      <c r="Y38" s="17"/>
      <c r="Z38" s="17"/>
      <c r="AA38" s="22">
        <v>49593.93</v>
      </c>
      <c r="AB38" s="21">
        <v>6447.27</v>
      </c>
      <c r="AC38" s="21">
        <v>56041.2</v>
      </c>
      <c r="AD38" s="17"/>
      <c r="AE38" s="17"/>
      <c r="AF38" s="17"/>
      <c r="AG38" s="22">
        <v>0</v>
      </c>
      <c r="AH38" s="22">
        <v>0</v>
      </c>
      <c r="AI38" s="22">
        <v>0</v>
      </c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 t="s">
        <v>154</v>
      </c>
      <c r="AX38" s="22">
        <v>35933.045452822</v>
      </c>
      <c r="AY38" s="22">
        <v>557.979448483425</v>
      </c>
      <c r="AZ38" s="22">
        <v>753.01631201165</v>
      </c>
      <c r="BA38" s="22">
        <v>41522.9482658391</v>
      </c>
      <c r="BB38" s="22">
        <v>37244.0412133169</v>
      </c>
      <c r="BC38" s="17" t="s">
        <v>180</v>
      </c>
      <c r="BD38" s="17"/>
      <c r="BE38" s="17" t="s">
        <v>156</v>
      </c>
      <c r="BF38" s="17" t="s">
        <v>157</v>
      </c>
      <c r="BG38" s="17" t="s">
        <v>150</v>
      </c>
      <c r="BH38" s="17"/>
      <c r="BI38" s="21" t="s">
        <v>181</v>
      </c>
      <c r="BJ38" s="17"/>
      <c r="BK38" s="17"/>
      <c r="BL38" s="17"/>
      <c r="BM38" s="17"/>
      <c r="BN38" s="17">
        <v>0.13</v>
      </c>
      <c r="BO38" s="17"/>
      <c r="BP38" s="17" t="s">
        <v>236</v>
      </c>
      <c r="BQ38" s="17"/>
      <c r="BR38" s="17" t="s">
        <v>160</v>
      </c>
      <c r="BS38" s="17" t="s">
        <v>161</v>
      </c>
      <c r="BT38">
        <v>106920</v>
      </c>
      <c r="BU38" t="s">
        <v>36</v>
      </c>
      <c r="BV38" t="s">
        <v>203</v>
      </c>
    </row>
    <row r="39" spans="1:74">
      <c r="A39" s="17">
        <v>188336</v>
      </c>
      <c r="B39" s="17" t="s">
        <v>150</v>
      </c>
      <c r="C39" s="17" t="s">
        <v>235</v>
      </c>
      <c r="D39" s="17"/>
      <c r="E39" s="17" t="s">
        <v>235</v>
      </c>
      <c r="F39" s="17" t="s">
        <v>152</v>
      </c>
      <c r="G39" s="17" t="s">
        <v>19</v>
      </c>
      <c r="H39" s="17" t="s">
        <v>30</v>
      </c>
      <c r="I39" s="17" t="s">
        <v>31</v>
      </c>
      <c r="J39" s="17" t="s">
        <v>153</v>
      </c>
      <c r="K39" s="22">
        <v>360</v>
      </c>
      <c r="L39" s="22">
        <v>360</v>
      </c>
      <c r="M39" s="17">
        <v>1</v>
      </c>
      <c r="N39" s="17"/>
      <c r="O39" s="17">
        <v>0</v>
      </c>
      <c r="P39" s="17"/>
      <c r="Q39" s="17"/>
      <c r="R39" s="17"/>
      <c r="S39" s="17"/>
      <c r="T39" s="17">
        <v>0</v>
      </c>
      <c r="U39" s="17"/>
      <c r="V39" s="17"/>
      <c r="W39" s="17"/>
      <c r="X39" s="17">
        <v>0</v>
      </c>
      <c r="Y39" s="17"/>
      <c r="Z39" s="17"/>
      <c r="AA39" s="22">
        <v>16531.31</v>
      </c>
      <c r="AB39" s="21">
        <v>2149.09</v>
      </c>
      <c r="AC39" s="21">
        <v>18680.4</v>
      </c>
      <c r="AD39" s="17"/>
      <c r="AE39" s="17"/>
      <c r="AF39" s="17"/>
      <c r="AG39" s="22">
        <v>0</v>
      </c>
      <c r="AH39" s="22">
        <v>0</v>
      </c>
      <c r="AI39" s="22">
        <v>0</v>
      </c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 t="s">
        <v>154</v>
      </c>
      <c r="AX39" s="22">
        <v>11977.6818176073</v>
      </c>
      <c r="AY39" s="22">
        <v>185.993149494475</v>
      </c>
      <c r="AZ39" s="22">
        <v>251.005437337217</v>
      </c>
      <c r="BA39" s="22">
        <v>13840.9827552797</v>
      </c>
      <c r="BB39" s="22">
        <v>12414.680404439</v>
      </c>
      <c r="BC39" s="17" t="s">
        <v>180</v>
      </c>
      <c r="BD39" s="17"/>
      <c r="BE39" s="17" t="s">
        <v>156</v>
      </c>
      <c r="BF39" s="17" t="s">
        <v>157</v>
      </c>
      <c r="BG39" s="17" t="s">
        <v>150</v>
      </c>
      <c r="BH39" s="17"/>
      <c r="BI39" s="21" t="s">
        <v>181</v>
      </c>
      <c r="BJ39" s="17"/>
      <c r="BK39" s="17"/>
      <c r="BL39" s="17"/>
      <c r="BM39" s="17"/>
      <c r="BN39" s="17">
        <v>0.13</v>
      </c>
      <c r="BO39" s="17"/>
      <c r="BP39" s="17" t="s">
        <v>236</v>
      </c>
      <c r="BQ39" s="17"/>
      <c r="BR39" s="17" t="s">
        <v>160</v>
      </c>
      <c r="BS39" s="17" t="s">
        <v>161</v>
      </c>
      <c r="BT39">
        <v>35640</v>
      </c>
      <c r="BU39" t="s">
        <v>36</v>
      </c>
      <c r="BV39" t="s">
        <v>203</v>
      </c>
    </row>
    <row r="40" spans="1:74">
      <c r="A40" s="17">
        <v>188337</v>
      </c>
      <c r="B40" s="17" t="s">
        <v>150</v>
      </c>
      <c r="C40" s="17" t="s">
        <v>235</v>
      </c>
      <c r="D40" s="17"/>
      <c r="E40" s="17" t="s">
        <v>235</v>
      </c>
      <c r="F40" s="17" t="s">
        <v>152</v>
      </c>
      <c r="G40" s="17" t="s">
        <v>19</v>
      </c>
      <c r="H40" s="17" t="s">
        <v>30</v>
      </c>
      <c r="I40" s="17" t="s">
        <v>31</v>
      </c>
      <c r="J40" s="17" t="s">
        <v>153</v>
      </c>
      <c r="K40" s="22">
        <v>360</v>
      </c>
      <c r="L40" s="22">
        <v>360</v>
      </c>
      <c r="M40" s="17">
        <v>1</v>
      </c>
      <c r="N40" s="17"/>
      <c r="O40" s="17">
        <v>0</v>
      </c>
      <c r="P40" s="17"/>
      <c r="Q40" s="17"/>
      <c r="R40" s="17"/>
      <c r="S40" s="17"/>
      <c r="T40" s="17">
        <v>0</v>
      </c>
      <c r="U40" s="17"/>
      <c r="V40" s="17"/>
      <c r="W40" s="17"/>
      <c r="X40" s="17">
        <v>0</v>
      </c>
      <c r="Y40" s="17"/>
      <c r="Z40" s="17"/>
      <c r="AA40" s="22">
        <v>16531.31</v>
      </c>
      <c r="AB40" s="21">
        <v>2149.09</v>
      </c>
      <c r="AC40" s="21">
        <v>18680.4</v>
      </c>
      <c r="AD40" s="17"/>
      <c r="AE40" s="17"/>
      <c r="AF40" s="17"/>
      <c r="AG40" s="22">
        <v>0</v>
      </c>
      <c r="AH40" s="22">
        <v>0</v>
      </c>
      <c r="AI40" s="22">
        <v>0</v>
      </c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 t="s">
        <v>154</v>
      </c>
      <c r="AX40" s="22">
        <v>11977.6818176073</v>
      </c>
      <c r="AY40" s="22">
        <v>185.993149494475</v>
      </c>
      <c r="AZ40" s="22">
        <v>251.005437337217</v>
      </c>
      <c r="BA40" s="22">
        <v>13840.9827552797</v>
      </c>
      <c r="BB40" s="22">
        <v>12414.680404439</v>
      </c>
      <c r="BC40" s="17" t="s">
        <v>180</v>
      </c>
      <c r="BD40" s="17"/>
      <c r="BE40" s="17" t="s">
        <v>156</v>
      </c>
      <c r="BF40" s="17" t="s">
        <v>157</v>
      </c>
      <c r="BG40" s="17" t="s">
        <v>150</v>
      </c>
      <c r="BH40" s="17"/>
      <c r="BI40" s="21" t="s">
        <v>181</v>
      </c>
      <c r="BJ40" s="17"/>
      <c r="BK40" s="17"/>
      <c r="BL40" s="17"/>
      <c r="BM40" s="17"/>
      <c r="BN40" s="17">
        <v>0.13</v>
      </c>
      <c r="BO40" s="17"/>
      <c r="BP40" s="17" t="s">
        <v>236</v>
      </c>
      <c r="BQ40" s="17"/>
      <c r="BR40" s="17" t="s">
        <v>160</v>
      </c>
      <c r="BS40" s="17" t="s">
        <v>161</v>
      </c>
      <c r="BT40">
        <v>35640</v>
      </c>
      <c r="BU40" t="s">
        <v>36</v>
      </c>
      <c r="BV40" t="s">
        <v>203</v>
      </c>
    </row>
    <row r="41" spans="1:74">
      <c r="A41" s="17">
        <v>188338</v>
      </c>
      <c r="B41" s="17" t="s">
        <v>150</v>
      </c>
      <c r="C41" s="17" t="s">
        <v>235</v>
      </c>
      <c r="D41" s="17"/>
      <c r="E41" s="17" t="s">
        <v>235</v>
      </c>
      <c r="F41" s="17" t="s">
        <v>152</v>
      </c>
      <c r="G41" s="17" t="s">
        <v>19</v>
      </c>
      <c r="H41" s="17" t="s">
        <v>30</v>
      </c>
      <c r="I41" s="17" t="s">
        <v>31</v>
      </c>
      <c r="J41" s="17" t="s">
        <v>153</v>
      </c>
      <c r="K41" s="22">
        <v>126</v>
      </c>
      <c r="L41" s="22">
        <v>126</v>
      </c>
      <c r="M41" s="17">
        <v>1</v>
      </c>
      <c r="N41" s="17"/>
      <c r="O41" s="17">
        <v>0</v>
      </c>
      <c r="P41" s="17"/>
      <c r="Q41" s="17"/>
      <c r="R41" s="17"/>
      <c r="S41" s="17"/>
      <c r="T41" s="17">
        <v>0</v>
      </c>
      <c r="U41" s="17"/>
      <c r="V41" s="17"/>
      <c r="W41" s="17"/>
      <c r="X41" s="17">
        <v>0</v>
      </c>
      <c r="Y41" s="17"/>
      <c r="Z41" s="17"/>
      <c r="AA41" s="22">
        <v>5785.96</v>
      </c>
      <c r="AB41" s="21">
        <v>752.18</v>
      </c>
      <c r="AC41" s="21">
        <v>6538.14</v>
      </c>
      <c r="AD41" s="17"/>
      <c r="AE41" s="17"/>
      <c r="AF41" s="17"/>
      <c r="AG41" s="22">
        <v>0</v>
      </c>
      <c r="AH41" s="22">
        <v>0</v>
      </c>
      <c r="AI41" s="22">
        <v>0</v>
      </c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 t="s">
        <v>154</v>
      </c>
      <c r="AX41" s="22">
        <v>4192.18863616256</v>
      </c>
      <c r="AY41" s="22">
        <v>65.0976023230663</v>
      </c>
      <c r="AZ41" s="22">
        <v>87.8519030680258</v>
      </c>
      <c r="BA41" s="22">
        <v>4844.34396434789</v>
      </c>
      <c r="BB41" s="22">
        <v>4345.13814155364</v>
      </c>
      <c r="BC41" s="17" t="s">
        <v>180</v>
      </c>
      <c r="BD41" s="17"/>
      <c r="BE41" s="17" t="s">
        <v>156</v>
      </c>
      <c r="BF41" s="17" t="s">
        <v>157</v>
      </c>
      <c r="BG41" s="17" t="s">
        <v>150</v>
      </c>
      <c r="BH41" s="17"/>
      <c r="BI41" s="21" t="s">
        <v>181</v>
      </c>
      <c r="BJ41" s="17"/>
      <c r="BK41" s="17"/>
      <c r="BL41" s="17"/>
      <c r="BM41" s="17"/>
      <c r="BN41" s="17">
        <v>0.13</v>
      </c>
      <c r="BO41" s="17"/>
      <c r="BP41" s="17" t="s">
        <v>236</v>
      </c>
      <c r="BQ41" s="17"/>
      <c r="BR41" s="17" t="s">
        <v>160</v>
      </c>
      <c r="BS41" s="17" t="s">
        <v>161</v>
      </c>
      <c r="BT41">
        <v>12474</v>
      </c>
      <c r="BU41" t="s">
        <v>36</v>
      </c>
      <c r="BV41" t="s">
        <v>203</v>
      </c>
    </row>
    <row r="42" spans="1:74">
      <c r="A42" s="17">
        <v>189511</v>
      </c>
      <c r="B42" s="17" t="s">
        <v>150</v>
      </c>
      <c r="C42" s="17" t="s">
        <v>237</v>
      </c>
      <c r="D42" s="17"/>
      <c r="E42" s="17" t="s">
        <v>238</v>
      </c>
      <c r="F42" s="17" t="s">
        <v>152</v>
      </c>
      <c r="G42" s="17" t="s">
        <v>19</v>
      </c>
      <c r="H42" s="17" t="s">
        <v>37</v>
      </c>
      <c r="I42" s="17" t="s">
        <v>38</v>
      </c>
      <c r="J42" s="17" t="s">
        <v>153</v>
      </c>
      <c r="K42" s="22">
        <v>1</v>
      </c>
      <c r="L42" s="22">
        <v>1</v>
      </c>
      <c r="M42" s="17">
        <v>1</v>
      </c>
      <c r="N42" s="17"/>
      <c r="O42" s="17">
        <v>0</v>
      </c>
      <c r="P42" s="17"/>
      <c r="Q42" s="17"/>
      <c r="R42" s="17"/>
      <c r="S42" s="17"/>
      <c r="T42" s="17">
        <v>0</v>
      </c>
      <c r="U42" s="17"/>
      <c r="V42" s="17"/>
      <c r="W42" s="17"/>
      <c r="X42" s="17">
        <v>0</v>
      </c>
      <c r="Y42" s="17"/>
      <c r="Z42" s="17"/>
      <c r="AA42" s="22">
        <v>18.19</v>
      </c>
      <c r="AB42" s="21">
        <v>2.37</v>
      </c>
      <c r="AC42" s="21">
        <v>20.56</v>
      </c>
      <c r="AD42" s="17"/>
      <c r="AE42" s="17"/>
      <c r="AF42" s="17"/>
      <c r="AG42" s="22">
        <v>3.36</v>
      </c>
      <c r="AH42" s="22">
        <v>3.17</v>
      </c>
      <c r="AI42" s="22">
        <v>0.19</v>
      </c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 t="s">
        <v>154</v>
      </c>
      <c r="AX42" s="22">
        <v>12.6176704640148</v>
      </c>
      <c r="AY42" s="22">
        <v>0.280432037911275</v>
      </c>
      <c r="AZ42" s="22">
        <v>0.378452715892014</v>
      </c>
      <c r="BA42" s="22">
        <v>14.7790674166729</v>
      </c>
      <c r="BB42" s="22">
        <v>13.276555217818</v>
      </c>
      <c r="BC42" s="17" t="s">
        <v>180</v>
      </c>
      <c r="BD42" s="17"/>
      <c r="BE42" s="17" t="s">
        <v>156</v>
      </c>
      <c r="BF42" s="17" t="s">
        <v>157</v>
      </c>
      <c r="BG42" s="17" t="s">
        <v>150</v>
      </c>
      <c r="BH42" s="17"/>
      <c r="BI42" s="21" t="s">
        <v>181</v>
      </c>
      <c r="BJ42" s="17"/>
      <c r="BK42" s="17"/>
      <c r="BL42" s="17"/>
      <c r="BM42" s="17"/>
      <c r="BN42" s="17">
        <v>0.13</v>
      </c>
      <c r="BO42" s="17"/>
      <c r="BP42" s="17" t="s">
        <v>205</v>
      </c>
      <c r="BQ42" s="17"/>
      <c r="BR42" s="17" t="s">
        <v>239</v>
      </c>
      <c r="BS42" s="17" t="s">
        <v>161</v>
      </c>
      <c r="BT42">
        <v>58</v>
      </c>
      <c r="BU42" t="s">
        <v>201</v>
      </c>
      <c r="BV42" t="s">
        <v>202</v>
      </c>
    </row>
    <row r="43" spans="1:74">
      <c r="A43" s="17">
        <v>193226</v>
      </c>
      <c r="B43" s="17" t="s">
        <v>150</v>
      </c>
      <c r="C43" s="17" t="s">
        <v>240</v>
      </c>
      <c r="D43" s="17"/>
      <c r="E43" s="17" t="s">
        <v>241</v>
      </c>
      <c r="F43" s="17" t="s">
        <v>152</v>
      </c>
      <c r="G43" s="17" t="s">
        <v>19</v>
      </c>
      <c r="H43" s="17" t="s">
        <v>41</v>
      </c>
      <c r="I43" s="17" t="s">
        <v>42</v>
      </c>
      <c r="J43" s="17" t="s">
        <v>211</v>
      </c>
      <c r="K43" s="22">
        <v>48</v>
      </c>
      <c r="L43" s="22">
        <v>48</v>
      </c>
      <c r="M43" s="17">
        <v>1</v>
      </c>
      <c r="N43" s="17"/>
      <c r="O43" s="17">
        <v>0</v>
      </c>
      <c r="P43" s="17"/>
      <c r="Q43" s="17"/>
      <c r="R43" s="17"/>
      <c r="S43" s="17"/>
      <c r="T43" s="17">
        <v>0</v>
      </c>
      <c r="U43" s="17"/>
      <c r="V43" s="17"/>
      <c r="W43" s="17"/>
      <c r="X43" s="17">
        <v>0</v>
      </c>
      <c r="Y43" s="17"/>
      <c r="Z43" s="17"/>
      <c r="AA43" s="22">
        <v>191.15</v>
      </c>
      <c r="AB43" s="21">
        <v>24.85</v>
      </c>
      <c r="AC43" s="21">
        <v>216</v>
      </c>
      <c r="AD43" s="17"/>
      <c r="AE43" s="17"/>
      <c r="AF43" s="17"/>
      <c r="AG43" s="22">
        <v>35.33</v>
      </c>
      <c r="AH43" s="22">
        <v>33.33</v>
      </c>
      <c r="AI43" s="22">
        <v>2</v>
      </c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 t="s">
        <v>154</v>
      </c>
      <c r="AX43" s="22">
        <v>178.586738049713</v>
      </c>
      <c r="AY43" s="22">
        <v>0</v>
      </c>
      <c r="AZ43" s="22">
        <v>0</v>
      </c>
      <c r="BA43" s="22">
        <v>199.852846816673</v>
      </c>
      <c r="BB43" s="22">
        <v>178.586738049713</v>
      </c>
      <c r="BC43" s="17" t="s">
        <v>180</v>
      </c>
      <c r="BD43" s="17"/>
      <c r="BE43" s="17" t="s">
        <v>156</v>
      </c>
      <c r="BF43" s="17" t="s">
        <v>212</v>
      </c>
      <c r="BG43" s="17" t="s">
        <v>150</v>
      </c>
      <c r="BH43" s="17"/>
      <c r="BI43" s="21" t="s">
        <v>181</v>
      </c>
      <c r="BJ43" s="17"/>
      <c r="BK43" s="17"/>
      <c r="BL43" s="17"/>
      <c r="BM43" s="17"/>
      <c r="BN43" s="17">
        <v>0.13</v>
      </c>
      <c r="BO43" s="17"/>
      <c r="BP43" s="17" t="s">
        <v>242</v>
      </c>
      <c r="BQ43" s="17" t="s">
        <v>214</v>
      </c>
      <c r="BR43" s="17" t="s">
        <v>243</v>
      </c>
      <c r="BS43" s="17" t="s">
        <v>216</v>
      </c>
      <c r="BT43">
        <v>633.33</v>
      </c>
      <c r="BU43" t="s">
        <v>201</v>
      </c>
      <c r="BV43" t="s">
        <v>202</v>
      </c>
    </row>
    <row r="44" spans="1:74">
      <c r="A44" s="17">
        <v>193235</v>
      </c>
      <c r="B44" s="17" t="s">
        <v>150</v>
      </c>
      <c r="C44" s="17" t="s">
        <v>244</v>
      </c>
      <c r="D44" s="17"/>
      <c r="E44" s="17" t="s">
        <v>245</v>
      </c>
      <c r="F44" s="17" t="s">
        <v>152</v>
      </c>
      <c r="G44" s="17" t="s">
        <v>19</v>
      </c>
      <c r="H44" s="17" t="s">
        <v>41</v>
      </c>
      <c r="I44" s="17" t="s">
        <v>42</v>
      </c>
      <c r="J44" s="17" t="s">
        <v>211</v>
      </c>
      <c r="K44" s="22">
        <v>48</v>
      </c>
      <c r="L44" s="22">
        <v>48</v>
      </c>
      <c r="M44" s="17">
        <v>1</v>
      </c>
      <c r="N44" s="17"/>
      <c r="O44" s="17">
        <v>0</v>
      </c>
      <c r="P44" s="17"/>
      <c r="Q44" s="17"/>
      <c r="R44" s="17"/>
      <c r="S44" s="17"/>
      <c r="T44" s="17">
        <v>0</v>
      </c>
      <c r="U44" s="17"/>
      <c r="V44" s="17"/>
      <c r="W44" s="17"/>
      <c r="X44" s="17">
        <v>0</v>
      </c>
      <c r="Y44" s="17"/>
      <c r="Z44" s="17"/>
      <c r="AA44" s="22">
        <v>191.15</v>
      </c>
      <c r="AB44" s="21">
        <v>24.85</v>
      </c>
      <c r="AC44" s="21">
        <v>216</v>
      </c>
      <c r="AD44" s="17"/>
      <c r="AE44" s="17"/>
      <c r="AF44" s="17"/>
      <c r="AG44" s="22">
        <v>35.33</v>
      </c>
      <c r="AH44" s="22">
        <v>33.33</v>
      </c>
      <c r="AI44" s="22">
        <v>2</v>
      </c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 t="s">
        <v>154</v>
      </c>
      <c r="AX44" s="22">
        <v>178.586738049713</v>
      </c>
      <c r="AY44" s="22">
        <v>0</v>
      </c>
      <c r="AZ44" s="22">
        <v>0</v>
      </c>
      <c r="BA44" s="22">
        <v>199.852846816673</v>
      </c>
      <c r="BB44" s="22">
        <v>178.586738049713</v>
      </c>
      <c r="BC44" s="17" t="s">
        <v>180</v>
      </c>
      <c r="BD44" s="17"/>
      <c r="BE44" s="17" t="s">
        <v>156</v>
      </c>
      <c r="BF44" s="17" t="s">
        <v>212</v>
      </c>
      <c r="BG44" s="17" t="s">
        <v>150</v>
      </c>
      <c r="BH44" s="17"/>
      <c r="BI44" s="21" t="s">
        <v>181</v>
      </c>
      <c r="BJ44" s="17"/>
      <c r="BK44" s="17"/>
      <c r="BL44" s="17"/>
      <c r="BM44" s="17"/>
      <c r="BN44" s="17">
        <v>0.13</v>
      </c>
      <c r="BO44" s="17"/>
      <c r="BP44" s="17" t="s">
        <v>242</v>
      </c>
      <c r="BQ44" s="17" t="s">
        <v>214</v>
      </c>
      <c r="BR44" s="17" t="s">
        <v>243</v>
      </c>
      <c r="BS44" s="17" t="s">
        <v>216</v>
      </c>
      <c r="BT44">
        <v>633.33</v>
      </c>
      <c r="BU44" t="s">
        <v>201</v>
      </c>
      <c r="BV44" t="s">
        <v>202</v>
      </c>
    </row>
    <row r="45" spans="1:74">
      <c r="A45" s="17">
        <v>193244</v>
      </c>
      <c r="B45" s="17" t="s">
        <v>150</v>
      </c>
      <c r="C45" s="17" t="s">
        <v>246</v>
      </c>
      <c r="D45" s="17"/>
      <c r="E45" s="17" t="s">
        <v>247</v>
      </c>
      <c r="F45" s="17" t="s">
        <v>152</v>
      </c>
      <c r="G45" s="17" t="s">
        <v>19</v>
      </c>
      <c r="H45" s="17" t="s">
        <v>41</v>
      </c>
      <c r="I45" s="17" t="s">
        <v>42</v>
      </c>
      <c r="J45" s="17" t="s">
        <v>211</v>
      </c>
      <c r="K45" s="22">
        <v>48</v>
      </c>
      <c r="L45" s="22">
        <v>48</v>
      </c>
      <c r="M45" s="17">
        <v>1</v>
      </c>
      <c r="N45" s="17"/>
      <c r="O45" s="17">
        <v>0</v>
      </c>
      <c r="P45" s="17"/>
      <c r="Q45" s="17"/>
      <c r="R45" s="17"/>
      <c r="S45" s="17"/>
      <c r="T45" s="17">
        <v>0</v>
      </c>
      <c r="U45" s="17"/>
      <c r="V45" s="17"/>
      <c r="W45" s="17"/>
      <c r="X45" s="17">
        <v>0</v>
      </c>
      <c r="Y45" s="17"/>
      <c r="Z45" s="17"/>
      <c r="AA45" s="22">
        <v>191.15</v>
      </c>
      <c r="AB45" s="21">
        <v>24.85</v>
      </c>
      <c r="AC45" s="21">
        <v>216</v>
      </c>
      <c r="AD45" s="17"/>
      <c r="AE45" s="17"/>
      <c r="AF45" s="17"/>
      <c r="AG45" s="22">
        <v>35.33</v>
      </c>
      <c r="AH45" s="22">
        <v>33.33</v>
      </c>
      <c r="AI45" s="22">
        <v>2</v>
      </c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 t="s">
        <v>154</v>
      </c>
      <c r="AX45" s="22">
        <v>178.586738049713</v>
      </c>
      <c r="AY45" s="22">
        <v>0</v>
      </c>
      <c r="AZ45" s="22">
        <v>0</v>
      </c>
      <c r="BA45" s="22">
        <v>199.852846816673</v>
      </c>
      <c r="BB45" s="22">
        <v>178.586738049713</v>
      </c>
      <c r="BC45" s="17" t="s">
        <v>180</v>
      </c>
      <c r="BD45" s="17"/>
      <c r="BE45" s="17" t="s">
        <v>156</v>
      </c>
      <c r="BF45" s="17" t="s">
        <v>212</v>
      </c>
      <c r="BG45" s="17" t="s">
        <v>150</v>
      </c>
      <c r="BH45" s="17"/>
      <c r="BI45" s="21" t="s">
        <v>181</v>
      </c>
      <c r="BJ45" s="17"/>
      <c r="BK45" s="17"/>
      <c r="BL45" s="17"/>
      <c r="BM45" s="17"/>
      <c r="BN45" s="17">
        <v>0.13</v>
      </c>
      <c r="BO45" s="17"/>
      <c r="BP45" s="17" t="s">
        <v>242</v>
      </c>
      <c r="BQ45" s="17" t="s">
        <v>214</v>
      </c>
      <c r="BR45" s="17" t="s">
        <v>243</v>
      </c>
      <c r="BS45" s="17" t="s">
        <v>216</v>
      </c>
      <c r="BT45">
        <v>633.34</v>
      </c>
      <c r="BU45" t="s">
        <v>201</v>
      </c>
      <c r="BV45" t="s">
        <v>202</v>
      </c>
    </row>
    <row r="46" spans="1:74">
      <c r="A46" s="17">
        <v>193651</v>
      </c>
      <c r="B46" s="17" t="s">
        <v>150</v>
      </c>
      <c r="C46" s="17" t="s">
        <v>248</v>
      </c>
      <c r="D46" s="17"/>
      <c r="E46" s="17" t="s">
        <v>249</v>
      </c>
      <c r="F46" s="17" t="s">
        <v>152</v>
      </c>
      <c r="G46" s="17" t="s">
        <v>19</v>
      </c>
      <c r="H46" s="17" t="s">
        <v>24</v>
      </c>
      <c r="I46" s="17" t="s">
        <v>25</v>
      </c>
      <c r="J46" s="17" t="s">
        <v>211</v>
      </c>
      <c r="K46" s="22">
        <v>24</v>
      </c>
      <c r="L46" s="22">
        <v>24</v>
      </c>
      <c r="M46" s="17">
        <v>1</v>
      </c>
      <c r="N46" s="17"/>
      <c r="O46" s="17">
        <v>0</v>
      </c>
      <c r="P46" s="17"/>
      <c r="Q46" s="17"/>
      <c r="R46" s="17"/>
      <c r="S46" s="17"/>
      <c r="T46" s="17">
        <v>0</v>
      </c>
      <c r="U46" s="17"/>
      <c r="V46" s="17"/>
      <c r="W46" s="17"/>
      <c r="X46" s="17">
        <v>0</v>
      </c>
      <c r="Y46" s="17"/>
      <c r="Z46" s="17"/>
      <c r="AA46" s="22">
        <v>95.58</v>
      </c>
      <c r="AB46" s="21">
        <v>12.42</v>
      </c>
      <c r="AC46" s="21">
        <v>108</v>
      </c>
      <c r="AD46" s="17"/>
      <c r="AE46" s="17"/>
      <c r="AF46" s="17"/>
      <c r="AG46" s="22">
        <v>17.66</v>
      </c>
      <c r="AH46" s="22">
        <v>16.66</v>
      </c>
      <c r="AI46" s="22">
        <v>1</v>
      </c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 t="s">
        <v>154</v>
      </c>
      <c r="AX46" s="22">
        <v>84.9734812950463</v>
      </c>
      <c r="AY46" s="22">
        <v>0</v>
      </c>
      <c r="AZ46" s="22">
        <v>0</v>
      </c>
      <c r="BA46" s="22">
        <v>95.0921234476605</v>
      </c>
      <c r="BB46" s="22">
        <v>84.9734812950463</v>
      </c>
      <c r="BC46" s="17" t="s">
        <v>180</v>
      </c>
      <c r="BD46" s="17"/>
      <c r="BE46" s="17" t="s">
        <v>156</v>
      </c>
      <c r="BF46" s="17" t="s">
        <v>212</v>
      </c>
      <c r="BG46" s="17" t="s">
        <v>150</v>
      </c>
      <c r="BH46" s="17"/>
      <c r="BI46" s="21" t="s">
        <v>181</v>
      </c>
      <c r="BJ46" s="17"/>
      <c r="BK46" s="17"/>
      <c r="BL46" s="17"/>
      <c r="BM46" s="17"/>
      <c r="BN46" s="17">
        <v>0.13</v>
      </c>
      <c r="BO46" s="17"/>
      <c r="BP46" s="17" t="s">
        <v>242</v>
      </c>
      <c r="BQ46" s="17" t="s">
        <v>214</v>
      </c>
      <c r="BR46" s="17" t="s">
        <v>215</v>
      </c>
      <c r="BS46" s="17" t="s">
        <v>216</v>
      </c>
      <c r="BT46">
        <v>478.52</v>
      </c>
      <c r="BU46" t="s">
        <v>201</v>
      </c>
      <c r="BV46" t="s">
        <v>202</v>
      </c>
    </row>
    <row r="47" spans="1:74">
      <c r="A47" s="17">
        <v>193652</v>
      </c>
      <c r="B47" s="17" t="s">
        <v>150</v>
      </c>
      <c r="C47" s="17" t="s">
        <v>250</v>
      </c>
      <c r="D47" s="17"/>
      <c r="E47" s="17" t="s">
        <v>251</v>
      </c>
      <c r="F47" s="17" t="s">
        <v>152</v>
      </c>
      <c r="G47" s="17" t="s">
        <v>19</v>
      </c>
      <c r="H47" s="17" t="s">
        <v>24</v>
      </c>
      <c r="I47" s="17" t="s">
        <v>25</v>
      </c>
      <c r="J47" s="17" t="s">
        <v>211</v>
      </c>
      <c r="K47" s="22">
        <v>24</v>
      </c>
      <c r="L47" s="22">
        <v>24</v>
      </c>
      <c r="M47" s="17">
        <v>1</v>
      </c>
      <c r="N47" s="17"/>
      <c r="O47" s="17">
        <v>0</v>
      </c>
      <c r="P47" s="17"/>
      <c r="Q47" s="17"/>
      <c r="R47" s="17"/>
      <c r="S47" s="17"/>
      <c r="T47" s="17">
        <v>0</v>
      </c>
      <c r="U47" s="17"/>
      <c r="V47" s="17"/>
      <c r="W47" s="17"/>
      <c r="X47" s="17">
        <v>0</v>
      </c>
      <c r="Y47" s="17"/>
      <c r="Z47" s="17"/>
      <c r="AA47" s="22">
        <v>95.58</v>
      </c>
      <c r="AB47" s="21">
        <v>12.42</v>
      </c>
      <c r="AC47" s="21">
        <v>108</v>
      </c>
      <c r="AD47" s="17"/>
      <c r="AE47" s="17"/>
      <c r="AF47" s="17"/>
      <c r="AG47" s="22">
        <v>17.66</v>
      </c>
      <c r="AH47" s="22">
        <v>16.66</v>
      </c>
      <c r="AI47" s="22">
        <v>1</v>
      </c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 t="s">
        <v>154</v>
      </c>
      <c r="AX47" s="22">
        <v>84.9734812950463</v>
      </c>
      <c r="AY47" s="22">
        <v>0</v>
      </c>
      <c r="AZ47" s="22">
        <v>0</v>
      </c>
      <c r="BA47" s="22">
        <v>95.0921234476605</v>
      </c>
      <c r="BB47" s="22">
        <v>84.9734812950463</v>
      </c>
      <c r="BC47" s="17" t="s">
        <v>180</v>
      </c>
      <c r="BD47" s="17"/>
      <c r="BE47" s="17" t="s">
        <v>156</v>
      </c>
      <c r="BF47" s="17" t="s">
        <v>212</v>
      </c>
      <c r="BG47" s="17" t="s">
        <v>150</v>
      </c>
      <c r="BH47" s="17"/>
      <c r="BI47" s="21" t="s">
        <v>181</v>
      </c>
      <c r="BJ47" s="17"/>
      <c r="BK47" s="17"/>
      <c r="BL47" s="17"/>
      <c r="BM47" s="17"/>
      <c r="BN47" s="17">
        <v>0.13</v>
      </c>
      <c r="BO47" s="17"/>
      <c r="BP47" s="17" t="s">
        <v>242</v>
      </c>
      <c r="BQ47" s="17" t="s">
        <v>214</v>
      </c>
      <c r="BR47" s="17" t="s">
        <v>215</v>
      </c>
      <c r="BS47" s="17" t="s">
        <v>216</v>
      </c>
      <c r="BT47">
        <v>478.52</v>
      </c>
      <c r="BU47" t="s">
        <v>201</v>
      </c>
      <c r="BV47" t="s">
        <v>202</v>
      </c>
    </row>
    <row r="48" spans="1:74">
      <c r="A48" s="17">
        <v>193654</v>
      </c>
      <c r="B48" s="17" t="s">
        <v>150</v>
      </c>
      <c r="C48" s="17" t="s">
        <v>252</v>
      </c>
      <c r="D48" s="17"/>
      <c r="E48" s="17" t="s">
        <v>253</v>
      </c>
      <c r="F48" s="17" t="s">
        <v>152</v>
      </c>
      <c r="G48" s="17" t="s">
        <v>19</v>
      </c>
      <c r="H48" s="17" t="s">
        <v>24</v>
      </c>
      <c r="I48" s="17" t="s">
        <v>25</v>
      </c>
      <c r="J48" s="17" t="s">
        <v>211</v>
      </c>
      <c r="K48" s="22">
        <v>24</v>
      </c>
      <c r="L48" s="22">
        <v>24</v>
      </c>
      <c r="M48" s="17">
        <v>1</v>
      </c>
      <c r="N48" s="17"/>
      <c r="O48" s="17">
        <v>0</v>
      </c>
      <c r="P48" s="17"/>
      <c r="Q48" s="17"/>
      <c r="R48" s="17"/>
      <c r="S48" s="17"/>
      <c r="T48" s="17">
        <v>0</v>
      </c>
      <c r="U48" s="17"/>
      <c r="V48" s="17"/>
      <c r="W48" s="17"/>
      <c r="X48" s="17">
        <v>0</v>
      </c>
      <c r="Y48" s="17"/>
      <c r="Z48" s="17"/>
      <c r="AA48" s="22">
        <v>95.58</v>
      </c>
      <c r="AB48" s="21">
        <v>12.42</v>
      </c>
      <c r="AC48" s="21">
        <v>108</v>
      </c>
      <c r="AD48" s="17"/>
      <c r="AE48" s="17"/>
      <c r="AF48" s="17"/>
      <c r="AG48" s="22">
        <v>17.66</v>
      </c>
      <c r="AH48" s="22">
        <v>16.66</v>
      </c>
      <c r="AI48" s="22">
        <v>1</v>
      </c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 t="s">
        <v>154</v>
      </c>
      <c r="AX48" s="22">
        <v>84.9734812950463</v>
      </c>
      <c r="AY48" s="22">
        <v>0</v>
      </c>
      <c r="AZ48" s="22">
        <v>0</v>
      </c>
      <c r="BA48" s="22">
        <v>95.0921234476605</v>
      </c>
      <c r="BB48" s="22">
        <v>84.9734812950463</v>
      </c>
      <c r="BC48" s="17" t="s">
        <v>180</v>
      </c>
      <c r="BD48" s="17"/>
      <c r="BE48" s="17" t="s">
        <v>156</v>
      </c>
      <c r="BF48" s="17" t="s">
        <v>212</v>
      </c>
      <c r="BG48" s="17" t="s">
        <v>150</v>
      </c>
      <c r="BH48" s="17"/>
      <c r="BI48" s="21" t="s">
        <v>181</v>
      </c>
      <c r="BJ48" s="17"/>
      <c r="BK48" s="17"/>
      <c r="BL48" s="17"/>
      <c r="BM48" s="17"/>
      <c r="BN48" s="17">
        <v>0.13</v>
      </c>
      <c r="BO48" s="17"/>
      <c r="BP48" s="17" t="s">
        <v>242</v>
      </c>
      <c r="BQ48" s="17" t="s">
        <v>214</v>
      </c>
      <c r="BR48" s="17" t="s">
        <v>215</v>
      </c>
      <c r="BS48" s="17" t="s">
        <v>216</v>
      </c>
      <c r="BT48">
        <v>478.52</v>
      </c>
      <c r="BU48" t="s">
        <v>201</v>
      </c>
      <c r="BV48" t="s">
        <v>202</v>
      </c>
    </row>
    <row r="49" spans="1:74">
      <c r="A49" s="17">
        <v>193655</v>
      </c>
      <c r="B49" s="17" t="s">
        <v>150</v>
      </c>
      <c r="C49" s="17" t="s">
        <v>254</v>
      </c>
      <c r="D49" s="17"/>
      <c r="E49" s="17" t="s">
        <v>255</v>
      </c>
      <c r="F49" s="17" t="s">
        <v>152</v>
      </c>
      <c r="G49" s="17" t="s">
        <v>19</v>
      </c>
      <c r="H49" s="17" t="s">
        <v>24</v>
      </c>
      <c r="I49" s="17" t="s">
        <v>25</v>
      </c>
      <c r="J49" s="17" t="s">
        <v>211</v>
      </c>
      <c r="K49" s="22">
        <v>24</v>
      </c>
      <c r="L49" s="22">
        <v>24</v>
      </c>
      <c r="M49" s="17">
        <v>1</v>
      </c>
      <c r="N49" s="17"/>
      <c r="O49" s="17">
        <v>0</v>
      </c>
      <c r="P49" s="17"/>
      <c r="Q49" s="17"/>
      <c r="R49" s="17"/>
      <c r="S49" s="17"/>
      <c r="T49" s="17">
        <v>0</v>
      </c>
      <c r="U49" s="17"/>
      <c r="V49" s="17"/>
      <c r="W49" s="17"/>
      <c r="X49" s="17">
        <v>0</v>
      </c>
      <c r="Y49" s="17"/>
      <c r="Z49" s="17"/>
      <c r="AA49" s="22">
        <v>95.58</v>
      </c>
      <c r="AB49" s="21">
        <v>12.42</v>
      </c>
      <c r="AC49" s="21">
        <v>108</v>
      </c>
      <c r="AD49" s="17"/>
      <c r="AE49" s="17"/>
      <c r="AF49" s="17"/>
      <c r="AG49" s="22">
        <v>17.66</v>
      </c>
      <c r="AH49" s="22">
        <v>16.66</v>
      </c>
      <c r="AI49" s="22">
        <v>1</v>
      </c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 t="s">
        <v>154</v>
      </c>
      <c r="AX49" s="22">
        <v>84.9734812950463</v>
      </c>
      <c r="AY49" s="22">
        <v>0</v>
      </c>
      <c r="AZ49" s="22">
        <v>0</v>
      </c>
      <c r="BA49" s="22">
        <v>95.0921234476605</v>
      </c>
      <c r="BB49" s="22">
        <v>84.9734812950463</v>
      </c>
      <c r="BC49" s="17" t="s">
        <v>180</v>
      </c>
      <c r="BD49" s="17"/>
      <c r="BE49" s="17" t="s">
        <v>156</v>
      </c>
      <c r="BF49" s="17" t="s">
        <v>212</v>
      </c>
      <c r="BG49" s="17" t="s">
        <v>150</v>
      </c>
      <c r="BH49" s="17"/>
      <c r="BI49" s="21" t="s">
        <v>181</v>
      </c>
      <c r="BJ49" s="17"/>
      <c r="BK49" s="17"/>
      <c r="BL49" s="17"/>
      <c r="BM49" s="17"/>
      <c r="BN49" s="17">
        <v>0.13</v>
      </c>
      <c r="BO49" s="17"/>
      <c r="BP49" s="17" t="s">
        <v>242</v>
      </c>
      <c r="BQ49" s="17" t="s">
        <v>214</v>
      </c>
      <c r="BR49" s="17" t="s">
        <v>215</v>
      </c>
      <c r="BS49" s="17" t="s">
        <v>216</v>
      </c>
      <c r="BT49">
        <v>478.52</v>
      </c>
      <c r="BU49" t="s">
        <v>201</v>
      </c>
      <c r="BV49" t="s">
        <v>202</v>
      </c>
    </row>
    <row r="50" spans="1:74">
      <c r="A50" s="17">
        <v>193656</v>
      </c>
      <c r="B50" s="17" t="s">
        <v>150</v>
      </c>
      <c r="C50" s="17" t="s">
        <v>256</v>
      </c>
      <c r="D50" s="17"/>
      <c r="E50" s="17" t="s">
        <v>257</v>
      </c>
      <c r="F50" s="17" t="s">
        <v>152</v>
      </c>
      <c r="G50" s="17" t="s">
        <v>19</v>
      </c>
      <c r="H50" s="17" t="s">
        <v>24</v>
      </c>
      <c r="I50" s="17" t="s">
        <v>25</v>
      </c>
      <c r="J50" s="17" t="s">
        <v>211</v>
      </c>
      <c r="K50" s="22">
        <v>24</v>
      </c>
      <c r="L50" s="22">
        <v>24</v>
      </c>
      <c r="M50" s="17">
        <v>1</v>
      </c>
      <c r="N50" s="17"/>
      <c r="O50" s="17">
        <v>0</v>
      </c>
      <c r="P50" s="17"/>
      <c r="Q50" s="17"/>
      <c r="R50" s="17"/>
      <c r="S50" s="17"/>
      <c r="T50" s="17">
        <v>0</v>
      </c>
      <c r="U50" s="17"/>
      <c r="V50" s="17"/>
      <c r="W50" s="17"/>
      <c r="X50" s="17">
        <v>0</v>
      </c>
      <c r="Y50" s="17"/>
      <c r="Z50" s="17"/>
      <c r="AA50" s="22">
        <v>95.58</v>
      </c>
      <c r="AB50" s="21">
        <v>12.42</v>
      </c>
      <c r="AC50" s="21">
        <v>108</v>
      </c>
      <c r="AD50" s="17"/>
      <c r="AE50" s="17"/>
      <c r="AF50" s="17"/>
      <c r="AG50" s="22">
        <v>17.66</v>
      </c>
      <c r="AH50" s="22">
        <v>16.66</v>
      </c>
      <c r="AI50" s="22">
        <v>1</v>
      </c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 t="s">
        <v>154</v>
      </c>
      <c r="AX50" s="22">
        <v>84.9734812950463</v>
      </c>
      <c r="AY50" s="22">
        <v>0</v>
      </c>
      <c r="AZ50" s="22">
        <v>0</v>
      </c>
      <c r="BA50" s="22">
        <v>95.0921234476605</v>
      </c>
      <c r="BB50" s="22">
        <v>84.9734812950463</v>
      </c>
      <c r="BC50" s="17" t="s">
        <v>180</v>
      </c>
      <c r="BD50" s="17"/>
      <c r="BE50" s="17" t="s">
        <v>156</v>
      </c>
      <c r="BF50" s="17" t="s">
        <v>212</v>
      </c>
      <c r="BG50" s="17" t="s">
        <v>150</v>
      </c>
      <c r="BH50" s="17"/>
      <c r="BI50" s="21" t="s">
        <v>181</v>
      </c>
      <c r="BJ50" s="17"/>
      <c r="BK50" s="17"/>
      <c r="BL50" s="17"/>
      <c r="BM50" s="17"/>
      <c r="BN50" s="17">
        <v>0.13</v>
      </c>
      <c r="BO50" s="17"/>
      <c r="BP50" s="17" t="s">
        <v>242</v>
      </c>
      <c r="BQ50" s="17" t="s">
        <v>214</v>
      </c>
      <c r="BR50" s="17" t="s">
        <v>215</v>
      </c>
      <c r="BS50" s="17" t="s">
        <v>216</v>
      </c>
      <c r="BT50">
        <v>478.52</v>
      </c>
      <c r="BU50" t="s">
        <v>201</v>
      </c>
      <c r="BV50" t="s">
        <v>202</v>
      </c>
    </row>
    <row r="51" spans="1:74">
      <c r="A51" s="17">
        <v>193657</v>
      </c>
      <c r="B51" s="17" t="s">
        <v>150</v>
      </c>
      <c r="C51" s="17" t="s">
        <v>258</v>
      </c>
      <c r="D51" s="17"/>
      <c r="E51" s="17" t="s">
        <v>259</v>
      </c>
      <c r="F51" s="17" t="s">
        <v>152</v>
      </c>
      <c r="G51" s="17" t="s">
        <v>19</v>
      </c>
      <c r="H51" s="17" t="s">
        <v>24</v>
      </c>
      <c r="I51" s="17" t="s">
        <v>25</v>
      </c>
      <c r="J51" s="17" t="s">
        <v>211</v>
      </c>
      <c r="K51" s="22">
        <v>24</v>
      </c>
      <c r="L51" s="22">
        <v>24</v>
      </c>
      <c r="M51" s="17">
        <v>1</v>
      </c>
      <c r="N51" s="17"/>
      <c r="O51" s="17">
        <v>0</v>
      </c>
      <c r="P51" s="17"/>
      <c r="Q51" s="17"/>
      <c r="R51" s="17"/>
      <c r="S51" s="17"/>
      <c r="T51" s="17">
        <v>0</v>
      </c>
      <c r="U51" s="17"/>
      <c r="V51" s="17"/>
      <c r="W51" s="17"/>
      <c r="X51" s="17">
        <v>0</v>
      </c>
      <c r="Y51" s="17"/>
      <c r="Z51" s="17"/>
      <c r="AA51" s="22">
        <v>95.58</v>
      </c>
      <c r="AB51" s="21">
        <v>12.42</v>
      </c>
      <c r="AC51" s="21">
        <v>108</v>
      </c>
      <c r="AD51" s="17"/>
      <c r="AE51" s="17"/>
      <c r="AF51" s="17"/>
      <c r="AG51" s="22">
        <v>17.66</v>
      </c>
      <c r="AH51" s="22">
        <v>16.66</v>
      </c>
      <c r="AI51" s="22">
        <v>1</v>
      </c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 t="s">
        <v>154</v>
      </c>
      <c r="AX51" s="22">
        <v>84.9734812950463</v>
      </c>
      <c r="AY51" s="22">
        <v>0</v>
      </c>
      <c r="AZ51" s="22">
        <v>0</v>
      </c>
      <c r="BA51" s="22">
        <v>95.0921234476605</v>
      </c>
      <c r="BB51" s="22">
        <v>84.9734812950463</v>
      </c>
      <c r="BC51" s="17" t="s">
        <v>180</v>
      </c>
      <c r="BD51" s="17"/>
      <c r="BE51" s="17" t="s">
        <v>156</v>
      </c>
      <c r="BF51" s="17" t="s">
        <v>212</v>
      </c>
      <c r="BG51" s="17" t="s">
        <v>150</v>
      </c>
      <c r="BH51" s="17"/>
      <c r="BI51" s="21" t="s">
        <v>181</v>
      </c>
      <c r="BJ51" s="17"/>
      <c r="BK51" s="17"/>
      <c r="BL51" s="17"/>
      <c r="BM51" s="17"/>
      <c r="BN51" s="17">
        <v>0.13</v>
      </c>
      <c r="BO51" s="17"/>
      <c r="BP51" s="17" t="s">
        <v>242</v>
      </c>
      <c r="BQ51" s="17" t="s">
        <v>214</v>
      </c>
      <c r="BR51" s="17" t="s">
        <v>215</v>
      </c>
      <c r="BS51" s="17" t="s">
        <v>216</v>
      </c>
      <c r="BT51">
        <v>478.52</v>
      </c>
      <c r="BU51" t="s">
        <v>201</v>
      </c>
      <c r="BV51" t="s">
        <v>202</v>
      </c>
    </row>
    <row r="52" spans="1:74">
      <c r="A52" s="17">
        <v>193658</v>
      </c>
      <c r="B52" s="17" t="s">
        <v>150</v>
      </c>
      <c r="C52" s="17" t="s">
        <v>260</v>
      </c>
      <c r="D52" s="17"/>
      <c r="E52" s="17" t="s">
        <v>261</v>
      </c>
      <c r="F52" s="17" t="s">
        <v>152</v>
      </c>
      <c r="G52" s="17" t="s">
        <v>19</v>
      </c>
      <c r="H52" s="17" t="s">
        <v>24</v>
      </c>
      <c r="I52" s="17" t="s">
        <v>25</v>
      </c>
      <c r="J52" s="17" t="s">
        <v>211</v>
      </c>
      <c r="K52" s="22">
        <v>24</v>
      </c>
      <c r="L52" s="22">
        <v>24</v>
      </c>
      <c r="M52" s="17">
        <v>1</v>
      </c>
      <c r="N52" s="17"/>
      <c r="O52" s="17">
        <v>0</v>
      </c>
      <c r="P52" s="17"/>
      <c r="Q52" s="17"/>
      <c r="R52" s="17"/>
      <c r="S52" s="17"/>
      <c r="T52" s="17">
        <v>0</v>
      </c>
      <c r="U52" s="17"/>
      <c r="V52" s="17"/>
      <c r="W52" s="17"/>
      <c r="X52" s="17">
        <v>0</v>
      </c>
      <c r="Y52" s="17"/>
      <c r="Z52" s="17"/>
      <c r="AA52" s="22">
        <v>95.58</v>
      </c>
      <c r="AB52" s="21">
        <v>12.42</v>
      </c>
      <c r="AC52" s="21">
        <v>108</v>
      </c>
      <c r="AD52" s="17"/>
      <c r="AE52" s="17"/>
      <c r="AF52" s="17"/>
      <c r="AG52" s="22">
        <v>17.66</v>
      </c>
      <c r="AH52" s="22">
        <v>16.66</v>
      </c>
      <c r="AI52" s="22">
        <v>1</v>
      </c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 t="s">
        <v>154</v>
      </c>
      <c r="AX52" s="22">
        <v>84.9734812950463</v>
      </c>
      <c r="AY52" s="22">
        <v>0</v>
      </c>
      <c r="AZ52" s="22">
        <v>0</v>
      </c>
      <c r="BA52" s="22">
        <v>95.0921234476605</v>
      </c>
      <c r="BB52" s="22">
        <v>84.9734812950463</v>
      </c>
      <c r="BC52" s="17" t="s">
        <v>180</v>
      </c>
      <c r="BD52" s="17"/>
      <c r="BE52" s="17" t="s">
        <v>156</v>
      </c>
      <c r="BF52" s="17" t="s">
        <v>212</v>
      </c>
      <c r="BG52" s="17" t="s">
        <v>150</v>
      </c>
      <c r="BH52" s="17"/>
      <c r="BI52" s="21" t="s">
        <v>181</v>
      </c>
      <c r="BJ52" s="17"/>
      <c r="BK52" s="17"/>
      <c r="BL52" s="17"/>
      <c r="BM52" s="17"/>
      <c r="BN52" s="17">
        <v>0.13</v>
      </c>
      <c r="BO52" s="17"/>
      <c r="BP52" s="17" t="s">
        <v>242</v>
      </c>
      <c r="BQ52" s="17" t="s">
        <v>214</v>
      </c>
      <c r="BR52" s="17" t="s">
        <v>215</v>
      </c>
      <c r="BS52" s="17" t="s">
        <v>216</v>
      </c>
      <c r="BT52">
        <v>478.52</v>
      </c>
      <c r="BU52" t="s">
        <v>201</v>
      </c>
      <c r="BV52" t="s">
        <v>202</v>
      </c>
    </row>
    <row r="53" spans="1:74">
      <c r="A53" s="17">
        <v>193659</v>
      </c>
      <c r="B53" s="17" t="s">
        <v>150</v>
      </c>
      <c r="C53" s="17" t="s">
        <v>262</v>
      </c>
      <c r="D53" s="17"/>
      <c r="E53" s="17" t="s">
        <v>263</v>
      </c>
      <c r="F53" s="17" t="s">
        <v>152</v>
      </c>
      <c r="G53" s="17" t="s">
        <v>19</v>
      </c>
      <c r="H53" s="17" t="s">
        <v>24</v>
      </c>
      <c r="I53" s="17" t="s">
        <v>25</v>
      </c>
      <c r="J53" s="17" t="s">
        <v>211</v>
      </c>
      <c r="K53" s="22">
        <v>24</v>
      </c>
      <c r="L53" s="22">
        <v>24</v>
      </c>
      <c r="M53" s="17">
        <v>1</v>
      </c>
      <c r="N53" s="17"/>
      <c r="O53" s="17">
        <v>0</v>
      </c>
      <c r="P53" s="17"/>
      <c r="Q53" s="17"/>
      <c r="R53" s="17"/>
      <c r="S53" s="17"/>
      <c r="T53" s="17">
        <v>0</v>
      </c>
      <c r="U53" s="17"/>
      <c r="V53" s="17"/>
      <c r="W53" s="17"/>
      <c r="X53" s="17">
        <v>0</v>
      </c>
      <c r="Y53" s="17"/>
      <c r="Z53" s="17"/>
      <c r="AA53" s="22">
        <v>95.58</v>
      </c>
      <c r="AB53" s="21">
        <v>12.42</v>
      </c>
      <c r="AC53" s="21">
        <v>108</v>
      </c>
      <c r="AD53" s="17"/>
      <c r="AE53" s="17"/>
      <c r="AF53" s="17"/>
      <c r="AG53" s="22">
        <v>17.66</v>
      </c>
      <c r="AH53" s="22">
        <v>16.66</v>
      </c>
      <c r="AI53" s="22">
        <v>1</v>
      </c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 t="s">
        <v>154</v>
      </c>
      <c r="AX53" s="22">
        <v>84.9734812950463</v>
      </c>
      <c r="AY53" s="22">
        <v>0</v>
      </c>
      <c r="AZ53" s="22">
        <v>0</v>
      </c>
      <c r="BA53" s="22">
        <v>95.0921234476605</v>
      </c>
      <c r="BB53" s="22">
        <v>84.9734812950463</v>
      </c>
      <c r="BC53" s="17" t="s">
        <v>180</v>
      </c>
      <c r="BD53" s="17"/>
      <c r="BE53" s="17" t="s">
        <v>156</v>
      </c>
      <c r="BF53" s="17" t="s">
        <v>212</v>
      </c>
      <c r="BG53" s="17" t="s">
        <v>150</v>
      </c>
      <c r="BH53" s="17"/>
      <c r="BI53" s="21" t="s">
        <v>181</v>
      </c>
      <c r="BJ53" s="17"/>
      <c r="BK53" s="17"/>
      <c r="BL53" s="17"/>
      <c r="BM53" s="17"/>
      <c r="BN53" s="17">
        <v>0.13</v>
      </c>
      <c r="BO53" s="17"/>
      <c r="BP53" s="17" t="s">
        <v>242</v>
      </c>
      <c r="BQ53" s="17" t="s">
        <v>214</v>
      </c>
      <c r="BR53" s="17" t="s">
        <v>215</v>
      </c>
      <c r="BS53" s="17" t="s">
        <v>216</v>
      </c>
      <c r="BT53">
        <v>478.52</v>
      </c>
      <c r="BU53" t="s">
        <v>201</v>
      </c>
      <c r="BV53" t="s">
        <v>202</v>
      </c>
    </row>
    <row r="54" spans="1:74">
      <c r="A54" s="17">
        <v>193660</v>
      </c>
      <c r="B54" s="17" t="s">
        <v>150</v>
      </c>
      <c r="C54" s="17" t="s">
        <v>264</v>
      </c>
      <c r="D54" s="17"/>
      <c r="E54" s="17" t="s">
        <v>265</v>
      </c>
      <c r="F54" s="17" t="s">
        <v>152</v>
      </c>
      <c r="G54" s="17" t="s">
        <v>19</v>
      </c>
      <c r="H54" s="17" t="s">
        <v>24</v>
      </c>
      <c r="I54" s="17" t="s">
        <v>25</v>
      </c>
      <c r="J54" s="17" t="s">
        <v>211</v>
      </c>
      <c r="K54" s="22">
        <v>24</v>
      </c>
      <c r="L54" s="22">
        <v>24</v>
      </c>
      <c r="M54" s="17">
        <v>1</v>
      </c>
      <c r="N54" s="17"/>
      <c r="O54" s="17">
        <v>0</v>
      </c>
      <c r="P54" s="17"/>
      <c r="Q54" s="17"/>
      <c r="R54" s="17"/>
      <c r="S54" s="17"/>
      <c r="T54" s="17">
        <v>0</v>
      </c>
      <c r="U54" s="17"/>
      <c r="V54" s="17"/>
      <c r="W54" s="17"/>
      <c r="X54" s="17">
        <v>0</v>
      </c>
      <c r="Y54" s="17"/>
      <c r="Z54" s="17"/>
      <c r="AA54" s="22">
        <v>95.58</v>
      </c>
      <c r="AB54" s="21">
        <v>12.42</v>
      </c>
      <c r="AC54" s="21">
        <v>108</v>
      </c>
      <c r="AD54" s="17"/>
      <c r="AE54" s="17"/>
      <c r="AF54" s="17"/>
      <c r="AG54" s="22">
        <v>17.66</v>
      </c>
      <c r="AH54" s="22">
        <v>16.66</v>
      </c>
      <c r="AI54" s="22">
        <v>1</v>
      </c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 t="s">
        <v>154</v>
      </c>
      <c r="AX54" s="22">
        <v>84.9734812950463</v>
      </c>
      <c r="AY54" s="22">
        <v>0</v>
      </c>
      <c r="AZ54" s="22">
        <v>0</v>
      </c>
      <c r="BA54" s="22">
        <v>95.0921234476605</v>
      </c>
      <c r="BB54" s="22">
        <v>84.9734812950463</v>
      </c>
      <c r="BC54" s="17" t="s">
        <v>180</v>
      </c>
      <c r="BD54" s="17"/>
      <c r="BE54" s="17" t="s">
        <v>156</v>
      </c>
      <c r="BF54" s="17" t="s">
        <v>212</v>
      </c>
      <c r="BG54" s="17" t="s">
        <v>150</v>
      </c>
      <c r="BH54" s="17"/>
      <c r="BI54" s="21" t="s">
        <v>181</v>
      </c>
      <c r="BJ54" s="17"/>
      <c r="BK54" s="17"/>
      <c r="BL54" s="17"/>
      <c r="BM54" s="17"/>
      <c r="BN54" s="17">
        <v>0.13</v>
      </c>
      <c r="BO54" s="17"/>
      <c r="BP54" s="17" t="s">
        <v>242</v>
      </c>
      <c r="BQ54" s="17" t="s">
        <v>214</v>
      </c>
      <c r="BR54" s="17" t="s">
        <v>215</v>
      </c>
      <c r="BS54" s="17" t="s">
        <v>216</v>
      </c>
      <c r="BT54">
        <v>478.52</v>
      </c>
      <c r="BU54" t="s">
        <v>201</v>
      </c>
      <c r="BV54" t="s">
        <v>202</v>
      </c>
    </row>
    <row r="55" spans="1:74">
      <c r="A55" s="17">
        <v>193662</v>
      </c>
      <c r="B55" s="17" t="s">
        <v>150</v>
      </c>
      <c r="C55" s="17" t="s">
        <v>266</v>
      </c>
      <c r="D55" s="17"/>
      <c r="E55" s="17" t="s">
        <v>267</v>
      </c>
      <c r="F55" s="17" t="s">
        <v>152</v>
      </c>
      <c r="G55" s="17" t="s">
        <v>19</v>
      </c>
      <c r="H55" s="17" t="s">
        <v>24</v>
      </c>
      <c r="I55" s="17" t="s">
        <v>25</v>
      </c>
      <c r="J55" s="17" t="s">
        <v>211</v>
      </c>
      <c r="K55" s="22">
        <v>24</v>
      </c>
      <c r="L55" s="22">
        <v>24</v>
      </c>
      <c r="M55" s="17">
        <v>1</v>
      </c>
      <c r="N55" s="17"/>
      <c r="O55" s="17">
        <v>0</v>
      </c>
      <c r="P55" s="17"/>
      <c r="Q55" s="17"/>
      <c r="R55" s="17"/>
      <c r="S55" s="17"/>
      <c r="T55" s="17">
        <v>0</v>
      </c>
      <c r="U55" s="17"/>
      <c r="V55" s="17"/>
      <c r="W55" s="17"/>
      <c r="X55" s="17">
        <v>0</v>
      </c>
      <c r="Y55" s="17"/>
      <c r="Z55" s="17"/>
      <c r="AA55" s="22">
        <v>95.58</v>
      </c>
      <c r="AB55" s="21">
        <v>12.42</v>
      </c>
      <c r="AC55" s="21">
        <v>108</v>
      </c>
      <c r="AD55" s="17"/>
      <c r="AE55" s="17"/>
      <c r="AF55" s="17"/>
      <c r="AG55" s="22">
        <v>17.66</v>
      </c>
      <c r="AH55" s="22">
        <v>16.66</v>
      </c>
      <c r="AI55" s="22">
        <v>1</v>
      </c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 t="s">
        <v>154</v>
      </c>
      <c r="AX55" s="22">
        <v>84.9734812950463</v>
      </c>
      <c r="AY55" s="22">
        <v>0</v>
      </c>
      <c r="AZ55" s="22">
        <v>0</v>
      </c>
      <c r="BA55" s="22">
        <v>95.0921234476605</v>
      </c>
      <c r="BB55" s="22">
        <v>84.9734812950463</v>
      </c>
      <c r="BC55" s="17" t="s">
        <v>180</v>
      </c>
      <c r="BD55" s="17"/>
      <c r="BE55" s="17" t="s">
        <v>156</v>
      </c>
      <c r="BF55" s="17" t="s">
        <v>212</v>
      </c>
      <c r="BG55" s="17" t="s">
        <v>150</v>
      </c>
      <c r="BH55" s="17"/>
      <c r="BI55" s="21" t="s">
        <v>181</v>
      </c>
      <c r="BJ55" s="17"/>
      <c r="BK55" s="17"/>
      <c r="BL55" s="17"/>
      <c r="BM55" s="17"/>
      <c r="BN55" s="17">
        <v>0.13</v>
      </c>
      <c r="BO55" s="17"/>
      <c r="BP55" s="17" t="s">
        <v>242</v>
      </c>
      <c r="BQ55" s="17" t="s">
        <v>214</v>
      </c>
      <c r="BR55" s="17" t="s">
        <v>215</v>
      </c>
      <c r="BS55" s="17" t="s">
        <v>216</v>
      </c>
      <c r="BT55">
        <v>478.52</v>
      </c>
      <c r="BU55" t="s">
        <v>201</v>
      </c>
      <c r="BV55" t="s">
        <v>202</v>
      </c>
    </row>
    <row r="56" spans="1:74">
      <c r="A56" s="17">
        <v>193663</v>
      </c>
      <c r="B56" s="17" t="s">
        <v>150</v>
      </c>
      <c r="C56" s="17" t="s">
        <v>268</v>
      </c>
      <c r="D56" s="17"/>
      <c r="E56" s="17" t="s">
        <v>269</v>
      </c>
      <c r="F56" s="17" t="s">
        <v>152</v>
      </c>
      <c r="G56" s="17" t="s">
        <v>19</v>
      </c>
      <c r="H56" s="17" t="s">
        <v>24</v>
      </c>
      <c r="I56" s="17" t="s">
        <v>25</v>
      </c>
      <c r="J56" s="17" t="s">
        <v>211</v>
      </c>
      <c r="K56" s="22">
        <v>24</v>
      </c>
      <c r="L56" s="22">
        <v>24</v>
      </c>
      <c r="M56" s="17">
        <v>1</v>
      </c>
      <c r="N56" s="17"/>
      <c r="O56" s="17">
        <v>0</v>
      </c>
      <c r="P56" s="17"/>
      <c r="Q56" s="17"/>
      <c r="R56" s="17"/>
      <c r="S56" s="17"/>
      <c r="T56" s="17">
        <v>0</v>
      </c>
      <c r="U56" s="17"/>
      <c r="V56" s="17"/>
      <c r="W56" s="17"/>
      <c r="X56" s="17">
        <v>0</v>
      </c>
      <c r="Y56" s="17"/>
      <c r="Z56" s="17"/>
      <c r="AA56" s="22">
        <v>95.58</v>
      </c>
      <c r="AB56" s="21">
        <v>12.42</v>
      </c>
      <c r="AC56" s="21">
        <v>108</v>
      </c>
      <c r="AD56" s="17"/>
      <c r="AE56" s="17"/>
      <c r="AF56" s="17"/>
      <c r="AG56" s="22">
        <v>17.66</v>
      </c>
      <c r="AH56" s="22">
        <v>16.66</v>
      </c>
      <c r="AI56" s="22">
        <v>1</v>
      </c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 t="s">
        <v>154</v>
      </c>
      <c r="AX56" s="22">
        <v>84.9734812950463</v>
      </c>
      <c r="AY56" s="22">
        <v>0</v>
      </c>
      <c r="AZ56" s="22">
        <v>0</v>
      </c>
      <c r="BA56" s="22">
        <v>95.0921234476605</v>
      </c>
      <c r="BB56" s="22">
        <v>84.9734812950463</v>
      </c>
      <c r="BC56" s="17" t="s">
        <v>180</v>
      </c>
      <c r="BD56" s="17"/>
      <c r="BE56" s="17" t="s">
        <v>156</v>
      </c>
      <c r="BF56" s="17" t="s">
        <v>212</v>
      </c>
      <c r="BG56" s="17" t="s">
        <v>150</v>
      </c>
      <c r="BH56" s="17"/>
      <c r="BI56" s="21" t="s">
        <v>181</v>
      </c>
      <c r="BJ56" s="17"/>
      <c r="BK56" s="17"/>
      <c r="BL56" s="17"/>
      <c r="BM56" s="17"/>
      <c r="BN56" s="17">
        <v>0.13</v>
      </c>
      <c r="BO56" s="17"/>
      <c r="BP56" s="17" t="s">
        <v>242</v>
      </c>
      <c r="BQ56" s="17" t="s">
        <v>214</v>
      </c>
      <c r="BR56" s="17" t="s">
        <v>215</v>
      </c>
      <c r="BS56" s="17" t="s">
        <v>216</v>
      </c>
      <c r="BT56">
        <v>478.52</v>
      </c>
      <c r="BU56" t="s">
        <v>201</v>
      </c>
      <c r="BV56" t="s">
        <v>202</v>
      </c>
    </row>
    <row r="57" spans="1:74">
      <c r="A57" s="17">
        <v>193683</v>
      </c>
      <c r="B57" s="17" t="s">
        <v>150</v>
      </c>
      <c r="C57" s="17" t="s">
        <v>270</v>
      </c>
      <c r="D57" s="17"/>
      <c r="E57" s="17" t="s">
        <v>271</v>
      </c>
      <c r="F57" s="17" t="s">
        <v>152</v>
      </c>
      <c r="G57" s="17" t="s">
        <v>19</v>
      </c>
      <c r="H57" s="17" t="s">
        <v>24</v>
      </c>
      <c r="I57" s="17" t="s">
        <v>25</v>
      </c>
      <c r="J57" s="17" t="s">
        <v>211</v>
      </c>
      <c r="K57" s="22">
        <v>24</v>
      </c>
      <c r="L57" s="22">
        <v>24</v>
      </c>
      <c r="M57" s="17">
        <v>1</v>
      </c>
      <c r="N57" s="17"/>
      <c r="O57" s="17">
        <v>0</v>
      </c>
      <c r="P57" s="17"/>
      <c r="Q57" s="17"/>
      <c r="R57" s="17"/>
      <c r="S57" s="17"/>
      <c r="T57" s="17">
        <v>0</v>
      </c>
      <c r="U57" s="17"/>
      <c r="V57" s="17"/>
      <c r="W57" s="17"/>
      <c r="X57" s="17">
        <v>0</v>
      </c>
      <c r="Y57" s="17"/>
      <c r="Z57" s="17"/>
      <c r="AA57" s="22">
        <v>95.58</v>
      </c>
      <c r="AB57" s="21">
        <v>12.42</v>
      </c>
      <c r="AC57" s="21">
        <v>108</v>
      </c>
      <c r="AD57" s="17"/>
      <c r="AE57" s="17"/>
      <c r="AF57" s="17"/>
      <c r="AG57" s="22">
        <v>17.66</v>
      </c>
      <c r="AH57" s="22">
        <v>16.66</v>
      </c>
      <c r="AI57" s="22">
        <v>1</v>
      </c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 t="s">
        <v>154</v>
      </c>
      <c r="AX57" s="22">
        <v>84.9734812950463</v>
      </c>
      <c r="AY57" s="22">
        <v>0</v>
      </c>
      <c r="AZ57" s="22">
        <v>0</v>
      </c>
      <c r="BA57" s="22">
        <v>95.0921234476605</v>
      </c>
      <c r="BB57" s="22">
        <v>84.9734812950463</v>
      </c>
      <c r="BC57" s="17" t="s">
        <v>180</v>
      </c>
      <c r="BD57" s="17"/>
      <c r="BE57" s="17" t="s">
        <v>156</v>
      </c>
      <c r="BF57" s="17" t="s">
        <v>212</v>
      </c>
      <c r="BG57" s="17" t="s">
        <v>150</v>
      </c>
      <c r="BH57" s="17"/>
      <c r="BI57" s="21" t="s">
        <v>181</v>
      </c>
      <c r="BJ57" s="17"/>
      <c r="BK57" s="17"/>
      <c r="BL57" s="17"/>
      <c r="BM57" s="17"/>
      <c r="BN57" s="17">
        <v>0.13</v>
      </c>
      <c r="BO57" s="17"/>
      <c r="BP57" s="17" t="s">
        <v>242</v>
      </c>
      <c r="BQ57" s="17" t="s">
        <v>214</v>
      </c>
      <c r="BR57" s="17" t="s">
        <v>215</v>
      </c>
      <c r="BS57" s="17" t="s">
        <v>216</v>
      </c>
      <c r="BT57">
        <v>478.52</v>
      </c>
      <c r="BU57" t="s">
        <v>201</v>
      </c>
      <c r="BV57" t="s">
        <v>202</v>
      </c>
    </row>
    <row r="58" spans="1:74">
      <c r="A58" s="17">
        <v>193684</v>
      </c>
      <c r="B58" s="17" t="s">
        <v>150</v>
      </c>
      <c r="C58" s="17" t="s">
        <v>272</v>
      </c>
      <c r="D58" s="17"/>
      <c r="E58" s="17" t="s">
        <v>273</v>
      </c>
      <c r="F58" s="17" t="s">
        <v>152</v>
      </c>
      <c r="G58" s="17" t="s">
        <v>19</v>
      </c>
      <c r="H58" s="17" t="s">
        <v>24</v>
      </c>
      <c r="I58" s="17" t="s">
        <v>25</v>
      </c>
      <c r="J58" s="17" t="s">
        <v>211</v>
      </c>
      <c r="K58" s="22">
        <v>24</v>
      </c>
      <c r="L58" s="22">
        <v>24</v>
      </c>
      <c r="M58" s="17">
        <v>1</v>
      </c>
      <c r="N58" s="17"/>
      <c r="O58" s="17">
        <v>0</v>
      </c>
      <c r="P58" s="17"/>
      <c r="Q58" s="17"/>
      <c r="R58" s="17"/>
      <c r="S58" s="17"/>
      <c r="T58" s="17">
        <v>0</v>
      </c>
      <c r="U58" s="17"/>
      <c r="V58" s="17"/>
      <c r="W58" s="17"/>
      <c r="X58" s="17">
        <v>0</v>
      </c>
      <c r="Y58" s="17"/>
      <c r="Z58" s="17"/>
      <c r="AA58" s="22">
        <v>95.58</v>
      </c>
      <c r="AB58" s="21">
        <v>12.42</v>
      </c>
      <c r="AC58" s="21">
        <v>108</v>
      </c>
      <c r="AD58" s="17"/>
      <c r="AE58" s="17"/>
      <c r="AF58" s="17"/>
      <c r="AG58" s="22">
        <v>17.66</v>
      </c>
      <c r="AH58" s="22">
        <v>16.66</v>
      </c>
      <c r="AI58" s="22">
        <v>1</v>
      </c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 t="s">
        <v>154</v>
      </c>
      <c r="AX58" s="22">
        <v>84.9734812950463</v>
      </c>
      <c r="AY58" s="22">
        <v>0</v>
      </c>
      <c r="AZ58" s="22">
        <v>0</v>
      </c>
      <c r="BA58" s="22">
        <v>95.0921234476605</v>
      </c>
      <c r="BB58" s="22">
        <v>84.9734812950463</v>
      </c>
      <c r="BC58" s="17" t="s">
        <v>180</v>
      </c>
      <c r="BD58" s="17"/>
      <c r="BE58" s="17" t="s">
        <v>156</v>
      </c>
      <c r="BF58" s="17" t="s">
        <v>212</v>
      </c>
      <c r="BG58" s="17" t="s">
        <v>150</v>
      </c>
      <c r="BH58" s="17"/>
      <c r="BI58" s="21" t="s">
        <v>181</v>
      </c>
      <c r="BJ58" s="17"/>
      <c r="BK58" s="17"/>
      <c r="BL58" s="17"/>
      <c r="BM58" s="17"/>
      <c r="BN58" s="17">
        <v>0.13</v>
      </c>
      <c r="BO58" s="17"/>
      <c r="BP58" s="17" t="s">
        <v>242</v>
      </c>
      <c r="BQ58" s="17" t="s">
        <v>214</v>
      </c>
      <c r="BR58" s="17" t="s">
        <v>215</v>
      </c>
      <c r="BS58" s="17" t="s">
        <v>216</v>
      </c>
      <c r="BT58">
        <v>478.52</v>
      </c>
      <c r="BU58" t="s">
        <v>201</v>
      </c>
      <c r="BV58" t="s">
        <v>202</v>
      </c>
    </row>
    <row r="59" spans="1:74">
      <c r="A59" s="17">
        <v>193685</v>
      </c>
      <c r="B59" s="17" t="s">
        <v>150</v>
      </c>
      <c r="C59" s="17" t="s">
        <v>274</v>
      </c>
      <c r="D59" s="17"/>
      <c r="E59" s="17" t="s">
        <v>275</v>
      </c>
      <c r="F59" s="17" t="s">
        <v>152</v>
      </c>
      <c r="G59" s="17" t="s">
        <v>19</v>
      </c>
      <c r="H59" s="17" t="s">
        <v>24</v>
      </c>
      <c r="I59" s="17" t="s">
        <v>25</v>
      </c>
      <c r="J59" s="17" t="s">
        <v>211</v>
      </c>
      <c r="K59" s="22">
        <v>24</v>
      </c>
      <c r="L59" s="22">
        <v>24</v>
      </c>
      <c r="M59" s="17">
        <v>1</v>
      </c>
      <c r="N59" s="17"/>
      <c r="O59" s="17">
        <v>0</v>
      </c>
      <c r="P59" s="17"/>
      <c r="Q59" s="17"/>
      <c r="R59" s="17"/>
      <c r="S59" s="17"/>
      <c r="T59" s="17">
        <v>0</v>
      </c>
      <c r="U59" s="17"/>
      <c r="V59" s="17"/>
      <c r="W59" s="17"/>
      <c r="X59" s="17">
        <v>0</v>
      </c>
      <c r="Y59" s="17"/>
      <c r="Z59" s="17"/>
      <c r="AA59" s="22">
        <v>95.58</v>
      </c>
      <c r="AB59" s="21">
        <v>12.42</v>
      </c>
      <c r="AC59" s="21">
        <v>108</v>
      </c>
      <c r="AD59" s="17"/>
      <c r="AE59" s="17"/>
      <c r="AF59" s="17"/>
      <c r="AG59" s="22">
        <v>17.66</v>
      </c>
      <c r="AH59" s="22">
        <v>16.66</v>
      </c>
      <c r="AI59" s="22">
        <v>1</v>
      </c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 t="s">
        <v>154</v>
      </c>
      <c r="AX59" s="22">
        <v>84.9734812950463</v>
      </c>
      <c r="AY59" s="22">
        <v>0</v>
      </c>
      <c r="AZ59" s="22">
        <v>0</v>
      </c>
      <c r="BA59" s="22">
        <v>95.0921234476605</v>
      </c>
      <c r="BB59" s="22">
        <v>84.9734812950463</v>
      </c>
      <c r="BC59" s="17" t="s">
        <v>180</v>
      </c>
      <c r="BD59" s="17"/>
      <c r="BE59" s="17" t="s">
        <v>156</v>
      </c>
      <c r="BF59" s="17" t="s">
        <v>212</v>
      </c>
      <c r="BG59" s="17" t="s">
        <v>150</v>
      </c>
      <c r="BH59" s="17"/>
      <c r="BI59" s="21" t="s">
        <v>181</v>
      </c>
      <c r="BJ59" s="17"/>
      <c r="BK59" s="17"/>
      <c r="BL59" s="17"/>
      <c r="BM59" s="17"/>
      <c r="BN59" s="17">
        <v>0.13</v>
      </c>
      <c r="BO59" s="17"/>
      <c r="BP59" s="17" t="s">
        <v>242</v>
      </c>
      <c r="BQ59" s="17" t="s">
        <v>214</v>
      </c>
      <c r="BR59" s="17" t="s">
        <v>215</v>
      </c>
      <c r="BS59" s="17" t="s">
        <v>216</v>
      </c>
      <c r="BT59">
        <v>478.52</v>
      </c>
      <c r="BU59" t="s">
        <v>201</v>
      </c>
      <c r="BV59" t="s">
        <v>202</v>
      </c>
    </row>
    <row r="60" spans="1:74">
      <c r="A60" s="17">
        <v>193686</v>
      </c>
      <c r="B60" s="17" t="s">
        <v>150</v>
      </c>
      <c r="C60" s="17" t="s">
        <v>276</v>
      </c>
      <c r="D60" s="17"/>
      <c r="E60" s="17" t="s">
        <v>277</v>
      </c>
      <c r="F60" s="17" t="s">
        <v>152</v>
      </c>
      <c r="G60" s="17" t="s">
        <v>19</v>
      </c>
      <c r="H60" s="17" t="s">
        <v>24</v>
      </c>
      <c r="I60" s="17" t="s">
        <v>25</v>
      </c>
      <c r="J60" s="17" t="s">
        <v>211</v>
      </c>
      <c r="K60" s="22">
        <v>24</v>
      </c>
      <c r="L60" s="22">
        <v>24</v>
      </c>
      <c r="M60" s="17">
        <v>1</v>
      </c>
      <c r="N60" s="17"/>
      <c r="O60" s="17">
        <v>0</v>
      </c>
      <c r="P60" s="17"/>
      <c r="Q60" s="17"/>
      <c r="R60" s="17"/>
      <c r="S60" s="17"/>
      <c r="T60" s="17">
        <v>0</v>
      </c>
      <c r="U60" s="17"/>
      <c r="V60" s="17"/>
      <c r="W60" s="17"/>
      <c r="X60" s="17">
        <v>0</v>
      </c>
      <c r="Y60" s="17"/>
      <c r="Z60" s="17"/>
      <c r="AA60" s="22">
        <v>95.58</v>
      </c>
      <c r="AB60" s="21">
        <v>12.42</v>
      </c>
      <c r="AC60" s="21">
        <v>108</v>
      </c>
      <c r="AD60" s="17"/>
      <c r="AE60" s="17"/>
      <c r="AF60" s="17"/>
      <c r="AG60" s="22">
        <v>17.66</v>
      </c>
      <c r="AH60" s="22">
        <v>16.66</v>
      </c>
      <c r="AI60" s="22">
        <v>1</v>
      </c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 t="s">
        <v>154</v>
      </c>
      <c r="AX60" s="22">
        <v>84.9734812950463</v>
      </c>
      <c r="AY60" s="22">
        <v>0</v>
      </c>
      <c r="AZ60" s="22">
        <v>0</v>
      </c>
      <c r="BA60" s="22">
        <v>95.0921234476605</v>
      </c>
      <c r="BB60" s="22">
        <v>84.9734812950463</v>
      </c>
      <c r="BC60" s="17" t="s">
        <v>180</v>
      </c>
      <c r="BD60" s="17"/>
      <c r="BE60" s="17" t="s">
        <v>156</v>
      </c>
      <c r="BF60" s="17" t="s">
        <v>212</v>
      </c>
      <c r="BG60" s="17" t="s">
        <v>150</v>
      </c>
      <c r="BH60" s="17"/>
      <c r="BI60" s="21" t="s">
        <v>181</v>
      </c>
      <c r="BJ60" s="17"/>
      <c r="BK60" s="17"/>
      <c r="BL60" s="17"/>
      <c r="BM60" s="17"/>
      <c r="BN60" s="17">
        <v>0.13</v>
      </c>
      <c r="BO60" s="17"/>
      <c r="BP60" s="17" t="s">
        <v>242</v>
      </c>
      <c r="BQ60" s="17" t="s">
        <v>214</v>
      </c>
      <c r="BR60" s="17" t="s">
        <v>215</v>
      </c>
      <c r="BS60" s="17" t="s">
        <v>216</v>
      </c>
      <c r="BT60">
        <v>478.51</v>
      </c>
      <c r="BU60" t="s">
        <v>201</v>
      </c>
      <c r="BV60" t="s">
        <v>202</v>
      </c>
    </row>
    <row r="61" spans="1:74">
      <c r="A61" s="17">
        <v>193687</v>
      </c>
      <c r="B61" s="17" t="s">
        <v>150</v>
      </c>
      <c r="C61" s="17" t="s">
        <v>278</v>
      </c>
      <c r="D61" s="17"/>
      <c r="E61" s="17" t="s">
        <v>279</v>
      </c>
      <c r="F61" s="17" t="s">
        <v>152</v>
      </c>
      <c r="G61" s="17" t="s">
        <v>19</v>
      </c>
      <c r="H61" s="17" t="s">
        <v>24</v>
      </c>
      <c r="I61" s="17" t="s">
        <v>25</v>
      </c>
      <c r="J61" s="17" t="s">
        <v>211</v>
      </c>
      <c r="K61" s="22">
        <v>24</v>
      </c>
      <c r="L61" s="22">
        <v>24</v>
      </c>
      <c r="M61" s="17">
        <v>1</v>
      </c>
      <c r="N61" s="17"/>
      <c r="O61" s="17">
        <v>0</v>
      </c>
      <c r="P61" s="17"/>
      <c r="Q61" s="17"/>
      <c r="R61" s="17"/>
      <c r="S61" s="17"/>
      <c r="T61" s="17">
        <v>0</v>
      </c>
      <c r="U61" s="17"/>
      <c r="V61" s="17"/>
      <c r="W61" s="17"/>
      <c r="X61" s="17">
        <v>0</v>
      </c>
      <c r="Y61" s="17"/>
      <c r="Z61" s="17"/>
      <c r="AA61" s="22">
        <v>95.58</v>
      </c>
      <c r="AB61" s="21">
        <v>12.42</v>
      </c>
      <c r="AC61" s="21">
        <v>108</v>
      </c>
      <c r="AD61" s="17"/>
      <c r="AE61" s="17"/>
      <c r="AF61" s="17"/>
      <c r="AG61" s="22">
        <v>17.66</v>
      </c>
      <c r="AH61" s="22">
        <v>16.66</v>
      </c>
      <c r="AI61" s="22">
        <v>1</v>
      </c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 t="s">
        <v>154</v>
      </c>
      <c r="AX61" s="22">
        <v>84.9734812950463</v>
      </c>
      <c r="AY61" s="22">
        <v>0</v>
      </c>
      <c r="AZ61" s="22">
        <v>0</v>
      </c>
      <c r="BA61" s="22">
        <v>95.0921234476605</v>
      </c>
      <c r="BB61" s="22">
        <v>84.9734812950463</v>
      </c>
      <c r="BC61" s="17" t="s">
        <v>180</v>
      </c>
      <c r="BD61" s="17"/>
      <c r="BE61" s="17" t="s">
        <v>156</v>
      </c>
      <c r="BF61" s="17" t="s">
        <v>212</v>
      </c>
      <c r="BG61" s="17" t="s">
        <v>150</v>
      </c>
      <c r="BH61" s="17"/>
      <c r="BI61" s="21" t="s">
        <v>181</v>
      </c>
      <c r="BJ61" s="17"/>
      <c r="BK61" s="17"/>
      <c r="BL61" s="17"/>
      <c r="BM61" s="17"/>
      <c r="BN61" s="17">
        <v>0.13</v>
      </c>
      <c r="BO61" s="17"/>
      <c r="BP61" s="17" t="s">
        <v>242</v>
      </c>
      <c r="BQ61" s="17" t="s">
        <v>214</v>
      </c>
      <c r="BR61" s="17" t="s">
        <v>215</v>
      </c>
      <c r="BS61" s="17" t="s">
        <v>216</v>
      </c>
      <c r="BT61">
        <v>478.51</v>
      </c>
      <c r="BU61" t="s">
        <v>201</v>
      </c>
      <c r="BV61" t="s">
        <v>202</v>
      </c>
    </row>
    <row r="62" spans="1:74">
      <c r="A62" s="17">
        <v>193688</v>
      </c>
      <c r="B62" s="17" t="s">
        <v>150</v>
      </c>
      <c r="C62" s="17" t="s">
        <v>280</v>
      </c>
      <c r="D62" s="17"/>
      <c r="E62" s="17" t="s">
        <v>281</v>
      </c>
      <c r="F62" s="17" t="s">
        <v>152</v>
      </c>
      <c r="G62" s="17" t="s">
        <v>19</v>
      </c>
      <c r="H62" s="17" t="s">
        <v>24</v>
      </c>
      <c r="I62" s="17" t="s">
        <v>25</v>
      </c>
      <c r="J62" s="17" t="s">
        <v>211</v>
      </c>
      <c r="K62" s="22">
        <v>24</v>
      </c>
      <c r="L62" s="22">
        <v>24</v>
      </c>
      <c r="M62" s="17">
        <v>1</v>
      </c>
      <c r="N62" s="17"/>
      <c r="O62" s="17">
        <v>0</v>
      </c>
      <c r="P62" s="17"/>
      <c r="Q62" s="17"/>
      <c r="R62" s="17"/>
      <c r="S62" s="17"/>
      <c r="T62" s="17">
        <v>0</v>
      </c>
      <c r="U62" s="17"/>
      <c r="V62" s="17"/>
      <c r="W62" s="17"/>
      <c r="X62" s="17">
        <v>0</v>
      </c>
      <c r="Y62" s="17"/>
      <c r="Z62" s="17"/>
      <c r="AA62" s="22">
        <v>95.58</v>
      </c>
      <c r="AB62" s="21">
        <v>12.42</v>
      </c>
      <c r="AC62" s="21">
        <v>108</v>
      </c>
      <c r="AD62" s="17"/>
      <c r="AE62" s="17"/>
      <c r="AF62" s="17"/>
      <c r="AG62" s="22">
        <v>17.66</v>
      </c>
      <c r="AH62" s="22">
        <v>16.66</v>
      </c>
      <c r="AI62" s="22">
        <v>1</v>
      </c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 t="s">
        <v>154</v>
      </c>
      <c r="AX62" s="22">
        <v>84.9734812950463</v>
      </c>
      <c r="AY62" s="22">
        <v>0</v>
      </c>
      <c r="AZ62" s="22">
        <v>0</v>
      </c>
      <c r="BA62" s="22">
        <v>95.0921234476605</v>
      </c>
      <c r="BB62" s="22">
        <v>84.9734812950463</v>
      </c>
      <c r="BC62" s="17" t="s">
        <v>180</v>
      </c>
      <c r="BD62" s="17"/>
      <c r="BE62" s="17" t="s">
        <v>156</v>
      </c>
      <c r="BF62" s="17" t="s">
        <v>212</v>
      </c>
      <c r="BG62" s="17" t="s">
        <v>150</v>
      </c>
      <c r="BH62" s="17"/>
      <c r="BI62" s="21" t="s">
        <v>181</v>
      </c>
      <c r="BJ62" s="17"/>
      <c r="BK62" s="17"/>
      <c r="BL62" s="17"/>
      <c r="BM62" s="17"/>
      <c r="BN62" s="17">
        <v>0.13</v>
      </c>
      <c r="BO62" s="17"/>
      <c r="BP62" s="17" t="s">
        <v>242</v>
      </c>
      <c r="BQ62" s="17" t="s">
        <v>214</v>
      </c>
      <c r="BR62" s="17" t="s">
        <v>215</v>
      </c>
      <c r="BS62" s="17" t="s">
        <v>216</v>
      </c>
      <c r="BT62">
        <v>478.51</v>
      </c>
      <c r="BU62" t="s">
        <v>201</v>
      </c>
      <c r="BV62" t="s">
        <v>202</v>
      </c>
    </row>
    <row r="63" spans="1:74">
      <c r="A63" s="17">
        <v>208641</v>
      </c>
      <c r="B63" s="17" t="s">
        <v>150</v>
      </c>
      <c r="C63" s="17" t="s">
        <v>282</v>
      </c>
      <c r="D63" s="17"/>
      <c r="E63" s="17" t="s">
        <v>283</v>
      </c>
      <c r="F63" s="17" t="s">
        <v>152</v>
      </c>
      <c r="G63" s="17" t="s">
        <v>19</v>
      </c>
      <c r="H63" s="17" t="s">
        <v>24</v>
      </c>
      <c r="I63" s="17" t="s">
        <v>25</v>
      </c>
      <c r="J63" s="17" t="s">
        <v>211</v>
      </c>
      <c r="K63" s="22">
        <v>48</v>
      </c>
      <c r="L63" s="22">
        <v>48</v>
      </c>
      <c r="M63" s="17">
        <v>1</v>
      </c>
      <c r="N63" s="17"/>
      <c r="O63" s="17">
        <v>0</v>
      </c>
      <c r="P63" s="17"/>
      <c r="Q63" s="17"/>
      <c r="R63" s="17"/>
      <c r="S63" s="17"/>
      <c r="T63" s="17">
        <v>0</v>
      </c>
      <c r="U63" s="17"/>
      <c r="V63" s="17"/>
      <c r="W63" s="17"/>
      <c r="X63" s="17">
        <v>0</v>
      </c>
      <c r="Y63" s="17"/>
      <c r="Z63" s="17"/>
      <c r="AA63" s="22">
        <v>191.15</v>
      </c>
      <c r="AB63" s="21">
        <v>24.85</v>
      </c>
      <c r="AC63" s="21">
        <v>216</v>
      </c>
      <c r="AD63" s="17"/>
      <c r="AE63" s="17"/>
      <c r="AF63" s="17"/>
      <c r="AG63" s="22">
        <v>35.33</v>
      </c>
      <c r="AH63" s="22">
        <v>33.33</v>
      </c>
      <c r="AI63" s="22">
        <v>2</v>
      </c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 t="s">
        <v>154</v>
      </c>
      <c r="AX63" s="22">
        <v>169.946962590093</v>
      </c>
      <c r="AY63" s="22">
        <v>0</v>
      </c>
      <c r="AZ63" s="22">
        <v>0</v>
      </c>
      <c r="BA63" s="22">
        <v>190.184246895321</v>
      </c>
      <c r="BB63" s="22">
        <v>169.946962590093</v>
      </c>
      <c r="BC63" s="17" t="s">
        <v>180</v>
      </c>
      <c r="BD63" s="17"/>
      <c r="BE63" s="17" t="s">
        <v>156</v>
      </c>
      <c r="BF63" s="17" t="s">
        <v>212</v>
      </c>
      <c r="BG63" s="17" t="s">
        <v>150</v>
      </c>
      <c r="BH63" s="17"/>
      <c r="BI63" s="21" t="s">
        <v>181</v>
      </c>
      <c r="BJ63" s="17"/>
      <c r="BK63" s="17"/>
      <c r="BL63" s="17"/>
      <c r="BM63" s="17"/>
      <c r="BN63" s="17">
        <v>0.13</v>
      </c>
      <c r="BO63" s="17"/>
      <c r="BP63" s="17" t="s">
        <v>184</v>
      </c>
      <c r="BQ63" s="17" t="s">
        <v>214</v>
      </c>
      <c r="BR63" s="17" t="s">
        <v>215</v>
      </c>
      <c r="BS63" s="17" t="s">
        <v>216</v>
      </c>
      <c r="BT63">
        <v>957.03</v>
      </c>
      <c r="BU63" t="s">
        <v>201</v>
      </c>
      <c r="BV63" t="s">
        <v>202</v>
      </c>
    </row>
    <row r="64" spans="1:74">
      <c r="A64" s="17">
        <v>210441</v>
      </c>
      <c r="B64" s="17" t="s">
        <v>150</v>
      </c>
      <c r="C64" s="17" t="s">
        <v>284</v>
      </c>
      <c r="D64" s="17"/>
      <c r="E64" s="17" t="s">
        <v>284</v>
      </c>
      <c r="F64" s="17" t="s">
        <v>152</v>
      </c>
      <c r="G64" s="17" t="s">
        <v>19</v>
      </c>
      <c r="H64" s="17" t="s">
        <v>28</v>
      </c>
      <c r="I64" s="17" t="s">
        <v>29</v>
      </c>
      <c r="J64" s="17" t="s">
        <v>153</v>
      </c>
      <c r="K64" s="22">
        <v>3006</v>
      </c>
      <c r="L64" s="22">
        <v>3006</v>
      </c>
      <c r="M64" s="17">
        <v>1</v>
      </c>
      <c r="N64" s="17"/>
      <c r="O64" s="17">
        <v>0</v>
      </c>
      <c r="P64" s="17"/>
      <c r="Q64" s="17"/>
      <c r="R64" s="17"/>
      <c r="S64" s="17"/>
      <c r="T64" s="17">
        <v>0</v>
      </c>
      <c r="U64" s="17"/>
      <c r="V64" s="17"/>
      <c r="W64" s="17"/>
      <c r="X64" s="17">
        <v>0</v>
      </c>
      <c r="Y64" s="17"/>
      <c r="Z64" s="17"/>
      <c r="AA64" s="22">
        <v>138036.45</v>
      </c>
      <c r="AB64" s="21">
        <v>17944.89</v>
      </c>
      <c r="AC64" s="21">
        <v>155981.34</v>
      </c>
      <c r="AD64" s="17"/>
      <c r="AE64" s="17"/>
      <c r="AF64" s="17"/>
      <c r="AG64" s="22">
        <v>0</v>
      </c>
      <c r="AH64" s="22">
        <v>0</v>
      </c>
      <c r="AI64" s="22">
        <v>0</v>
      </c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 t="s">
        <v>154</v>
      </c>
      <c r="AX64" s="22">
        <v>100036.820023535</v>
      </c>
      <c r="AY64" s="22">
        <v>1553.37326976013</v>
      </c>
      <c r="AZ64" s="22">
        <v>2096.34083382958</v>
      </c>
      <c r="BA64" s="22">
        <v>115598.918655527</v>
      </c>
      <c r="BB64" s="22">
        <v>103686.534127124</v>
      </c>
      <c r="BC64" s="17" t="s">
        <v>180</v>
      </c>
      <c r="BD64" s="17"/>
      <c r="BE64" s="17" t="s">
        <v>156</v>
      </c>
      <c r="BF64" s="17" t="s">
        <v>157</v>
      </c>
      <c r="BG64" s="17" t="s">
        <v>150</v>
      </c>
      <c r="BH64" s="17"/>
      <c r="BI64" s="21" t="s">
        <v>181</v>
      </c>
      <c r="BJ64" s="17"/>
      <c r="BK64" s="17"/>
      <c r="BL64" s="17"/>
      <c r="BM64" s="17"/>
      <c r="BN64" s="17">
        <v>0.13</v>
      </c>
      <c r="BO64" s="17"/>
      <c r="BP64" s="17" t="s">
        <v>234</v>
      </c>
      <c r="BQ64" s="17"/>
      <c r="BR64" s="17" t="s">
        <v>160</v>
      </c>
      <c r="BS64" s="17" t="s">
        <v>161</v>
      </c>
      <c r="BT64">
        <v>297594</v>
      </c>
      <c r="BU64" t="s">
        <v>36</v>
      </c>
      <c r="BV64" t="s">
        <v>203</v>
      </c>
    </row>
    <row r="65" spans="1:74">
      <c r="A65" s="17">
        <v>210442</v>
      </c>
      <c r="B65" s="17" t="s">
        <v>150</v>
      </c>
      <c r="C65" s="17" t="s">
        <v>285</v>
      </c>
      <c r="D65" s="17"/>
      <c r="E65" s="17" t="s">
        <v>285</v>
      </c>
      <c r="F65" s="17" t="s">
        <v>152</v>
      </c>
      <c r="G65" s="17" t="s">
        <v>19</v>
      </c>
      <c r="H65" s="17" t="s">
        <v>39</v>
      </c>
      <c r="I65" s="17" t="s">
        <v>40</v>
      </c>
      <c r="J65" s="17" t="s">
        <v>153</v>
      </c>
      <c r="K65" s="22">
        <v>2988</v>
      </c>
      <c r="L65" s="22">
        <v>2988</v>
      </c>
      <c r="M65" s="17">
        <v>1</v>
      </c>
      <c r="N65" s="17"/>
      <c r="O65" s="17">
        <v>0</v>
      </c>
      <c r="P65" s="17"/>
      <c r="Q65" s="17"/>
      <c r="R65" s="17"/>
      <c r="S65" s="17"/>
      <c r="T65" s="17">
        <v>0</v>
      </c>
      <c r="U65" s="17"/>
      <c r="V65" s="17"/>
      <c r="W65" s="17"/>
      <c r="X65" s="17">
        <v>0</v>
      </c>
      <c r="Y65" s="17"/>
      <c r="Z65" s="17"/>
      <c r="AA65" s="22">
        <v>137210.02</v>
      </c>
      <c r="AB65" s="21">
        <v>17837.3</v>
      </c>
      <c r="AC65" s="21">
        <v>155047.32</v>
      </c>
      <c r="AD65" s="17"/>
      <c r="AE65" s="17"/>
      <c r="AF65" s="17"/>
      <c r="AG65" s="22">
        <v>0</v>
      </c>
      <c r="AH65" s="22">
        <v>0</v>
      </c>
      <c r="AI65" s="22">
        <v>0</v>
      </c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 t="s">
        <v>154</v>
      </c>
      <c r="AX65" s="22">
        <v>99291.5197891171</v>
      </c>
      <c r="AY65" s="22">
        <v>1540.18936771903</v>
      </c>
      <c r="AZ65" s="22">
        <v>2078.53596879501</v>
      </c>
      <c r="BA65" s="22">
        <v>114733.879302119</v>
      </c>
      <c r="BB65" s="22">
        <v>102910.245125631</v>
      </c>
      <c r="BC65" s="17" t="s">
        <v>180</v>
      </c>
      <c r="BD65" s="17"/>
      <c r="BE65" s="17" t="s">
        <v>156</v>
      </c>
      <c r="BF65" s="17" t="s">
        <v>157</v>
      </c>
      <c r="BG65" s="17" t="s">
        <v>150</v>
      </c>
      <c r="BH65" s="17"/>
      <c r="BI65" s="21" t="s">
        <v>181</v>
      </c>
      <c r="BJ65" s="17"/>
      <c r="BK65" s="17"/>
      <c r="BL65" s="17"/>
      <c r="BM65" s="17"/>
      <c r="BN65" s="17">
        <v>0.13</v>
      </c>
      <c r="BO65" s="17"/>
      <c r="BP65" s="17" t="s">
        <v>286</v>
      </c>
      <c r="BQ65" s="17"/>
      <c r="BR65" s="17" t="s">
        <v>160</v>
      </c>
      <c r="BS65" s="17" t="s">
        <v>161</v>
      </c>
      <c r="BT65">
        <v>295812</v>
      </c>
      <c r="BU65" t="s">
        <v>201</v>
      </c>
      <c r="BV65" t="s">
        <v>202</v>
      </c>
    </row>
    <row r="66" spans="1:7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22"/>
      <c r="L66" s="22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22"/>
      <c r="AB66" s="21"/>
      <c r="AC66" s="21"/>
      <c r="AD66" s="17"/>
      <c r="AE66" s="17"/>
      <c r="AF66" s="17"/>
      <c r="AG66" s="22"/>
      <c r="AH66" s="22"/>
      <c r="AI66" s="2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22"/>
      <c r="AY66" s="22"/>
      <c r="AZ66" s="22"/>
      <c r="BA66" s="22"/>
      <c r="BB66" s="22"/>
      <c r="BC66" s="17"/>
      <c r="BD66" s="17"/>
      <c r="BE66" s="17"/>
      <c r="BF66" s="17"/>
      <c r="BG66" s="17"/>
      <c r="BH66" s="17"/>
      <c r="BI66" s="21"/>
      <c r="BJ66" s="17"/>
      <c r="BK66" s="17"/>
      <c r="BL66" s="17"/>
      <c r="BM66" s="17"/>
      <c r="BN66" s="17"/>
      <c r="BO66" s="17"/>
      <c r="BP66" s="17"/>
      <c r="BQ66" s="17"/>
      <c r="BR66" s="17"/>
      <c r="BS66" s="17"/>
    </row>
    <row r="67" spans="1:71">
      <c r="A67" t="s">
        <v>149</v>
      </c>
      <c r="B67" t="s">
        <v>203</v>
      </c>
      <c r="C67" s="17"/>
      <c r="D67" s="17"/>
      <c r="E67" s="17"/>
      <c r="F67" s="17"/>
      <c r="G67" s="17"/>
      <c r="H67" s="17"/>
      <c r="I67" s="17"/>
      <c r="J67" s="17"/>
      <c r="K67" s="22"/>
      <c r="L67" s="22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22"/>
      <c r="AB67" s="21"/>
      <c r="AC67" s="21"/>
      <c r="AD67" s="17"/>
      <c r="AE67" s="17"/>
      <c r="AF67" s="17"/>
      <c r="AG67" s="22"/>
      <c r="AH67" s="22"/>
      <c r="AI67" s="2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22"/>
      <c r="AY67" s="22"/>
      <c r="AZ67" s="22"/>
      <c r="BA67" s="22"/>
      <c r="BB67" s="22"/>
      <c r="BC67" s="17"/>
      <c r="BD67" s="17"/>
      <c r="BE67" s="17"/>
      <c r="BF67" s="17"/>
      <c r="BG67" s="17"/>
      <c r="BH67" s="17"/>
      <c r="BI67" s="21"/>
      <c r="BJ67" s="17"/>
      <c r="BK67" s="17"/>
      <c r="BL67" s="17"/>
      <c r="BM67" s="17"/>
      <c r="BN67" s="17"/>
      <c r="BO67" s="17"/>
      <c r="BP67" s="17"/>
      <c r="BQ67" s="17"/>
      <c r="BR67" s="17"/>
      <c r="BS67" s="17"/>
    </row>
    <row r="68" spans="1:7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22"/>
      <c r="L68" s="22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22"/>
      <c r="AB68" s="21"/>
      <c r="AC68" s="21"/>
      <c r="AD68" s="17"/>
      <c r="AE68" s="17"/>
      <c r="AF68" s="17"/>
      <c r="AG68" s="22"/>
      <c r="AH68" s="22"/>
      <c r="AI68" s="2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22"/>
      <c r="AY68" s="22"/>
      <c r="AZ68" s="22"/>
      <c r="BA68" s="22"/>
      <c r="BB68" s="22"/>
      <c r="BC68" s="17"/>
      <c r="BD68" s="17"/>
      <c r="BE68" s="17"/>
      <c r="BF68" s="17"/>
      <c r="BG68" s="17"/>
      <c r="BH68" s="17"/>
      <c r="BI68" s="21"/>
      <c r="BJ68" s="17"/>
      <c r="BK68" s="17"/>
      <c r="BL68" s="17"/>
      <c r="BM68" s="17"/>
      <c r="BN68" s="17"/>
      <c r="BO68" s="17"/>
      <c r="BP68" s="17"/>
      <c r="BQ68" s="17"/>
      <c r="BR68" s="17"/>
      <c r="BS68" s="17"/>
    </row>
    <row r="69" spans="1:10">
      <c r="A69" t="s">
        <v>87</v>
      </c>
      <c r="B69" t="s">
        <v>191</v>
      </c>
      <c r="C69" t="s">
        <v>168</v>
      </c>
      <c r="D69" t="s">
        <v>169</v>
      </c>
      <c r="E69" t="s">
        <v>170</v>
      </c>
      <c r="F69" t="s">
        <v>192</v>
      </c>
      <c r="G69" t="s">
        <v>193</v>
      </c>
      <c r="H69" t="s">
        <v>194</v>
      </c>
      <c r="I69" t="s">
        <v>195</v>
      </c>
      <c r="J69" t="s">
        <v>196</v>
      </c>
    </row>
    <row r="70" spans="1:10">
      <c r="A70" t="s">
        <v>22</v>
      </c>
      <c r="B70">
        <v>1568</v>
      </c>
      <c r="C70">
        <v>68923</v>
      </c>
      <c r="D70">
        <v>8959.56</v>
      </c>
      <c r="E70">
        <v>77882.56</v>
      </c>
      <c r="F70">
        <v>55814.1744608668</v>
      </c>
      <c r="G70">
        <v>50082.2605492361</v>
      </c>
      <c r="H70">
        <v>48134.984142011</v>
      </c>
      <c r="I70">
        <v>828.789764099328</v>
      </c>
      <c r="J70">
        <v>1118.48664312569</v>
      </c>
    </row>
    <row r="71" spans="1:10">
      <c r="A71" t="s">
        <v>32</v>
      </c>
      <c r="B71">
        <v>1088</v>
      </c>
      <c r="C71">
        <v>48035.38</v>
      </c>
      <c r="D71">
        <v>6244.94</v>
      </c>
      <c r="E71">
        <v>54280.32</v>
      </c>
      <c r="F71">
        <v>41219.4741209889</v>
      </c>
      <c r="G71">
        <v>36973.3033386554</v>
      </c>
      <c r="H71">
        <v>35658.1355587286</v>
      </c>
      <c r="I71">
        <v>559.755776085562</v>
      </c>
      <c r="J71">
        <v>755.412003841483</v>
      </c>
    </row>
    <row r="72" spans="1:10">
      <c r="A72" t="s">
        <v>34</v>
      </c>
      <c r="B72">
        <v>2016</v>
      </c>
      <c r="C72">
        <v>89006.95</v>
      </c>
      <c r="D72">
        <v>11571.29</v>
      </c>
      <c r="E72">
        <v>100578.24</v>
      </c>
      <c r="F72">
        <v>76602.5985959908</v>
      </c>
      <c r="G72">
        <v>68711.4751418585</v>
      </c>
      <c r="H72">
        <v>66267.4122785717</v>
      </c>
      <c r="I72">
        <v>1040.22489225119</v>
      </c>
      <c r="J72">
        <v>1403.83797103539</v>
      </c>
    </row>
    <row r="73" spans="1:10">
      <c r="A73" t="s">
        <v>28</v>
      </c>
      <c r="B73">
        <v>5688</v>
      </c>
      <c r="C73">
        <v>261194.73</v>
      </c>
      <c r="D73">
        <v>33955.59</v>
      </c>
      <c r="E73">
        <v>295150.32</v>
      </c>
      <c r="F73">
        <v>218738.073623632</v>
      </c>
      <c r="G73">
        <v>196197.274156714</v>
      </c>
      <c r="H73">
        <v>189291.228308006</v>
      </c>
      <c r="I73">
        <v>2939.31708529462</v>
      </c>
      <c r="J73">
        <v>3966.72876341406</v>
      </c>
    </row>
    <row r="74" spans="1:10">
      <c r="A74" t="s">
        <v>30</v>
      </c>
      <c r="B74">
        <v>5472</v>
      </c>
      <c r="C74">
        <v>251275.91</v>
      </c>
      <c r="D74">
        <v>32666.17</v>
      </c>
      <c r="E74">
        <v>283942.08</v>
      </c>
      <c r="F74">
        <v>210382.937880251</v>
      </c>
      <c r="G74">
        <v>188703.142147473</v>
      </c>
      <c r="H74">
        <v>182060.763627631</v>
      </c>
      <c r="I74">
        <v>2827.09587231602</v>
      </c>
      <c r="J74">
        <v>3815.28264752569</v>
      </c>
    </row>
    <row r="75" spans="1:10">
      <c r="A75" t="s">
        <v>171</v>
      </c>
      <c r="B75">
        <v>15832</v>
      </c>
      <c r="C75">
        <v>718435.97</v>
      </c>
      <c r="D75">
        <v>93397.55</v>
      </c>
      <c r="E75">
        <v>811833.52</v>
      </c>
      <c r="F75">
        <v>602757.25868173</v>
      </c>
      <c r="G75">
        <v>540667.455333937</v>
      </c>
      <c r="H75">
        <v>521412.523914948</v>
      </c>
      <c r="I75">
        <v>8195.18339004672</v>
      </c>
      <c r="J75">
        <v>11059.7480289423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1"/>
  <sheetViews>
    <sheetView workbookViewId="0">
      <selection activeCell="C8" sqref="C8"/>
    </sheetView>
  </sheetViews>
  <sheetFormatPr defaultColWidth="9" defaultRowHeight="13.5" outlineLevelCol="3"/>
  <sheetData>
    <row r="1" spans="3:4">
      <c r="C1" t="s">
        <v>27</v>
      </c>
      <c r="D1">
        <v>22868.2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"/>
  <sheetViews>
    <sheetView workbookViewId="0">
      <pane xSplit="10" ySplit="1" topLeftCell="BC2" activePane="bottomRight" state="frozen"/>
      <selection/>
      <selection pane="topRight"/>
      <selection pane="bottomLeft"/>
      <selection pane="bottomRight" activeCell="B43" sqref="B43"/>
    </sheetView>
  </sheetViews>
  <sheetFormatPr defaultColWidth="9" defaultRowHeight="13.5"/>
  <cols>
    <col min="1" max="1" width="19.5"/>
    <col min="2" max="2" width="17"/>
    <col min="3" max="3" width="10.375"/>
    <col min="25" max="25" width="12.625"/>
    <col min="27" max="27" width="14" customWidth="1"/>
  </cols>
  <sheetData>
    <row r="1" spans="1:69">
      <c r="A1" s="17" t="s">
        <v>81</v>
      </c>
      <c r="B1" s="17" t="s">
        <v>82</v>
      </c>
      <c r="C1" s="17" t="s">
        <v>83</v>
      </c>
      <c r="D1" s="17" t="s">
        <v>84</v>
      </c>
      <c r="E1" s="17" t="s">
        <v>85</v>
      </c>
      <c r="F1" s="17" t="s">
        <v>86</v>
      </c>
      <c r="G1" s="17" t="s">
        <v>87</v>
      </c>
      <c r="H1" s="17" t="s">
        <v>88</v>
      </c>
      <c r="I1" s="17" t="s">
        <v>89</v>
      </c>
      <c r="J1" s="17" t="s">
        <v>90</v>
      </c>
      <c r="K1" s="17" t="s">
        <v>91</v>
      </c>
      <c r="L1" s="17" t="s">
        <v>92</v>
      </c>
      <c r="M1" s="17" t="s">
        <v>93</v>
      </c>
      <c r="N1" s="17" t="s">
        <v>94</v>
      </c>
      <c r="O1" s="17" t="s">
        <v>95</v>
      </c>
      <c r="P1" s="17" t="s">
        <v>96</v>
      </c>
      <c r="Q1" s="17" t="s">
        <v>97</v>
      </c>
      <c r="R1" s="17" t="s">
        <v>98</v>
      </c>
      <c r="S1" s="17" t="s">
        <v>99</v>
      </c>
      <c r="T1" s="17" t="s">
        <v>100</v>
      </c>
      <c r="U1" s="17" t="s">
        <v>101</v>
      </c>
      <c r="V1" s="17" t="s">
        <v>102</v>
      </c>
      <c r="W1" s="17" t="s">
        <v>103</v>
      </c>
      <c r="X1" s="17" t="s">
        <v>104</v>
      </c>
      <c r="Y1" s="17" t="s">
        <v>105</v>
      </c>
      <c r="Z1" s="17" t="s">
        <v>106</v>
      </c>
      <c r="AA1" s="17" t="s">
        <v>107</v>
      </c>
      <c r="AB1" s="17" t="s">
        <v>110</v>
      </c>
      <c r="AC1" s="17" t="s">
        <v>111</v>
      </c>
      <c r="AD1" s="17" t="s">
        <v>112</v>
      </c>
      <c r="AE1" s="17" t="s">
        <v>113</v>
      </c>
      <c r="AF1" s="17" t="s">
        <v>114</v>
      </c>
      <c r="AG1" s="17" t="s">
        <v>115</v>
      </c>
      <c r="AH1" s="17" t="s">
        <v>116</v>
      </c>
      <c r="AI1" s="17" t="s">
        <v>117</v>
      </c>
      <c r="AJ1" s="17" t="s">
        <v>118</v>
      </c>
      <c r="AK1" s="17" t="s">
        <v>119</v>
      </c>
      <c r="AL1" s="17" t="s">
        <v>120</v>
      </c>
      <c r="AM1" s="17" t="s">
        <v>121</v>
      </c>
      <c r="AN1" s="17" t="s">
        <v>122</v>
      </c>
      <c r="AO1" s="17" t="s">
        <v>123</v>
      </c>
      <c r="AP1" s="17" t="s">
        <v>124</v>
      </c>
      <c r="AQ1" s="17" t="s">
        <v>125</v>
      </c>
      <c r="AR1" s="17" t="s">
        <v>126</v>
      </c>
      <c r="AS1" s="17" t="s">
        <v>127</v>
      </c>
      <c r="AT1" s="17" t="s">
        <v>128</v>
      </c>
      <c r="AU1" s="17" t="s">
        <v>129</v>
      </c>
      <c r="AV1" s="17" t="s">
        <v>11</v>
      </c>
      <c r="AW1" s="17" t="s">
        <v>12</v>
      </c>
      <c r="AX1" s="17" t="s">
        <v>13</v>
      </c>
      <c r="AY1" s="17" t="s">
        <v>9</v>
      </c>
      <c r="AZ1" s="17" t="s">
        <v>10</v>
      </c>
      <c r="BA1" s="17" t="s">
        <v>130</v>
      </c>
      <c r="BB1" s="17" t="s">
        <v>131</v>
      </c>
      <c r="BC1" s="17" t="s">
        <v>132</v>
      </c>
      <c r="BD1" s="17" t="s">
        <v>133</v>
      </c>
      <c r="BE1" s="17" t="s">
        <v>134</v>
      </c>
      <c r="BF1" s="17" t="s">
        <v>135</v>
      </c>
      <c r="BG1" s="17" t="s">
        <v>136</v>
      </c>
      <c r="BH1" s="17" t="s">
        <v>137</v>
      </c>
      <c r="BI1" s="17" t="s">
        <v>138</v>
      </c>
      <c r="BJ1" s="17" t="s">
        <v>139</v>
      </c>
      <c r="BK1" s="17" t="s">
        <v>140</v>
      </c>
      <c r="BL1" s="17" t="s">
        <v>141</v>
      </c>
      <c r="BM1" s="17" t="s">
        <v>142</v>
      </c>
      <c r="BN1" s="17" t="s">
        <v>143</v>
      </c>
      <c r="BO1" s="17" t="s">
        <v>144</v>
      </c>
      <c r="BP1" s="17" t="s">
        <v>145</v>
      </c>
      <c r="BQ1" s="17" t="s">
        <v>146</v>
      </c>
    </row>
    <row r="2" spans="1:69">
      <c r="A2" s="17" t="s">
        <v>150</v>
      </c>
      <c r="B2" s="17" t="s">
        <v>163</v>
      </c>
      <c r="C2" s="17"/>
      <c r="D2" s="17" t="s">
        <v>163</v>
      </c>
      <c r="E2" s="17" t="s">
        <v>152</v>
      </c>
      <c r="F2" s="17" t="s">
        <v>19</v>
      </c>
      <c r="G2" s="17" t="s">
        <v>22</v>
      </c>
      <c r="H2" s="17" t="s">
        <v>23</v>
      </c>
      <c r="I2" s="17" t="s">
        <v>153</v>
      </c>
      <c r="J2" s="18">
        <v>288</v>
      </c>
      <c r="K2" s="17">
        <v>1</v>
      </c>
      <c r="L2" s="17"/>
      <c r="M2" s="17"/>
      <c r="N2" s="17"/>
      <c r="O2" s="17"/>
      <c r="P2" s="17"/>
      <c r="Q2" s="17"/>
      <c r="R2" s="17">
        <v>0</v>
      </c>
      <c r="S2" s="17"/>
      <c r="T2" s="17"/>
      <c r="U2" s="17"/>
      <c r="V2" s="17">
        <v>0</v>
      </c>
      <c r="W2" s="17"/>
      <c r="X2" s="17"/>
      <c r="Y2" s="18">
        <v>14010.0888637648</v>
      </c>
      <c r="Z2" s="17">
        <v>1821.27113623517</v>
      </c>
      <c r="AA2" s="17">
        <v>15831.36</v>
      </c>
      <c r="AB2" s="17"/>
      <c r="AC2" s="17"/>
      <c r="AD2" s="17"/>
      <c r="AE2" s="17">
        <v>5</v>
      </c>
      <c r="AF2" s="17">
        <v>4.716981132</v>
      </c>
      <c r="AG2" s="17">
        <v>0.283018868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154</v>
      </c>
      <c r="AV2" s="17"/>
      <c r="AW2" s="17"/>
      <c r="AX2" s="17"/>
      <c r="AY2" s="17"/>
      <c r="AZ2" s="17"/>
      <c r="BA2" s="17" t="s">
        <v>155</v>
      </c>
      <c r="BB2" s="17"/>
      <c r="BC2" s="17" t="s">
        <v>156</v>
      </c>
      <c r="BD2" s="17" t="s">
        <v>157</v>
      </c>
      <c r="BE2" s="17" t="s">
        <v>150</v>
      </c>
      <c r="BF2" s="17"/>
      <c r="BG2" s="17" t="s">
        <v>158</v>
      </c>
      <c r="BH2" s="17"/>
      <c r="BI2" s="17"/>
      <c r="BJ2" s="17"/>
      <c r="BK2" s="17"/>
      <c r="BL2" s="17">
        <v>0.13</v>
      </c>
      <c r="BM2" s="17"/>
      <c r="BN2" s="17" t="s">
        <v>164</v>
      </c>
      <c r="BO2" s="17"/>
      <c r="BP2" s="17" t="s">
        <v>165</v>
      </c>
      <c r="BQ2" s="17" t="s">
        <v>161</v>
      </c>
    </row>
    <row r="3" spans="1:69">
      <c r="A3" s="17" t="s">
        <v>150</v>
      </c>
      <c r="B3" s="17" t="s">
        <v>163</v>
      </c>
      <c r="C3" s="17"/>
      <c r="D3" s="17" t="s">
        <v>163</v>
      </c>
      <c r="E3" s="17" t="s">
        <v>152</v>
      </c>
      <c r="F3" s="17" t="s">
        <v>19</v>
      </c>
      <c r="G3" s="17" t="s">
        <v>32</v>
      </c>
      <c r="H3" s="17" t="s">
        <v>33</v>
      </c>
      <c r="I3" s="17" t="s">
        <v>153</v>
      </c>
      <c r="J3" s="18">
        <v>512</v>
      </c>
      <c r="K3" s="17">
        <v>1</v>
      </c>
      <c r="L3" s="17"/>
      <c r="M3" s="17"/>
      <c r="N3" s="17"/>
      <c r="O3" s="17"/>
      <c r="P3" s="17"/>
      <c r="Q3" s="17"/>
      <c r="R3" s="17">
        <v>0</v>
      </c>
      <c r="S3" s="17"/>
      <c r="T3" s="17"/>
      <c r="U3" s="17"/>
      <c r="V3" s="17">
        <v>0</v>
      </c>
      <c r="W3" s="17"/>
      <c r="X3" s="17"/>
      <c r="Y3" s="18">
        <v>25006.2983550263</v>
      </c>
      <c r="Z3" s="17">
        <v>3250.98164497369</v>
      </c>
      <c r="AA3" s="17">
        <v>28257.28</v>
      </c>
      <c r="AB3" s="17"/>
      <c r="AC3" s="17"/>
      <c r="AD3" s="17"/>
      <c r="AE3" s="17">
        <v>5</v>
      </c>
      <c r="AF3" s="17">
        <v>4.716981132</v>
      </c>
      <c r="AG3" s="17">
        <v>0.283018868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154</v>
      </c>
      <c r="AV3" s="17"/>
      <c r="AW3" s="17"/>
      <c r="AX3" s="17"/>
      <c r="AY3" s="17"/>
      <c r="AZ3" s="17"/>
      <c r="BA3" s="17" t="s">
        <v>155</v>
      </c>
      <c r="BB3" s="17"/>
      <c r="BC3" s="17" t="s">
        <v>156</v>
      </c>
      <c r="BD3" s="17" t="s">
        <v>157</v>
      </c>
      <c r="BE3" s="17" t="s">
        <v>150</v>
      </c>
      <c r="BF3" s="17"/>
      <c r="BG3" s="17" t="s">
        <v>158</v>
      </c>
      <c r="BH3" s="17"/>
      <c r="BI3" s="17"/>
      <c r="BJ3" s="17"/>
      <c r="BK3" s="17"/>
      <c r="BL3" s="17">
        <v>0.13</v>
      </c>
      <c r="BM3" s="17"/>
      <c r="BN3" s="17" t="s">
        <v>164</v>
      </c>
      <c r="BO3" s="17"/>
      <c r="BP3" s="17" t="s">
        <v>166</v>
      </c>
      <c r="BQ3" s="17" t="s">
        <v>161</v>
      </c>
    </row>
    <row r="4" spans="1:69">
      <c r="A4" s="17" t="s">
        <v>150</v>
      </c>
      <c r="B4" s="17" t="s">
        <v>163</v>
      </c>
      <c r="C4" s="17"/>
      <c r="D4" s="17" t="s">
        <v>163</v>
      </c>
      <c r="E4" s="17" t="s">
        <v>152</v>
      </c>
      <c r="F4" s="17" t="s">
        <v>19</v>
      </c>
      <c r="G4" s="17" t="s">
        <v>34</v>
      </c>
      <c r="H4" s="17" t="s">
        <v>35</v>
      </c>
      <c r="I4" s="17" t="s">
        <v>153</v>
      </c>
      <c r="J4" s="18">
        <v>512</v>
      </c>
      <c r="K4" s="17">
        <v>1</v>
      </c>
      <c r="L4" s="17"/>
      <c r="M4" s="17"/>
      <c r="N4" s="17"/>
      <c r="O4" s="17"/>
      <c r="P4" s="17"/>
      <c r="Q4" s="17"/>
      <c r="R4" s="17">
        <v>0</v>
      </c>
      <c r="S4" s="17"/>
      <c r="T4" s="17"/>
      <c r="U4" s="17"/>
      <c r="V4" s="17">
        <v>0</v>
      </c>
      <c r="W4" s="17"/>
      <c r="X4" s="17"/>
      <c r="Y4" s="18">
        <v>25006.2886477904</v>
      </c>
      <c r="Z4" s="17">
        <v>3250.99135220958</v>
      </c>
      <c r="AA4" s="17">
        <v>28257.28</v>
      </c>
      <c r="AB4" s="17"/>
      <c r="AC4" s="17"/>
      <c r="AD4" s="17"/>
      <c r="AE4" s="17">
        <v>5</v>
      </c>
      <c r="AF4" s="17">
        <v>4.716981132</v>
      </c>
      <c r="AG4" s="17">
        <v>0.283018868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154</v>
      </c>
      <c r="AV4" s="17"/>
      <c r="AW4" s="17"/>
      <c r="AX4" s="17"/>
      <c r="AY4" s="17"/>
      <c r="AZ4" s="17"/>
      <c r="BA4" s="17" t="s">
        <v>155</v>
      </c>
      <c r="BB4" s="17"/>
      <c r="BC4" s="17" t="s">
        <v>156</v>
      </c>
      <c r="BD4" s="17" t="s">
        <v>157</v>
      </c>
      <c r="BE4" s="17" t="s">
        <v>150</v>
      </c>
      <c r="BF4" s="17"/>
      <c r="BG4" s="17" t="s">
        <v>158</v>
      </c>
      <c r="BH4" s="17"/>
      <c r="BI4" s="17"/>
      <c r="BJ4" s="17"/>
      <c r="BK4" s="17"/>
      <c r="BL4" s="17">
        <v>0.13</v>
      </c>
      <c r="BM4" s="17"/>
      <c r="BN4" s="17" t="s">
        <v>164</v>
      </c>
      <c r="BO4" s="17"/>
      <c r="BP4" s="17" t="s">
        <v>166</v>
      </c>
      <c r="BQ4" s="17" t="s">
        <v>161</v>
      </c>
    </row>
    <row r="5" spans="1:69">
      <c r="A5" s="17" t="s">
        <v>150</v>
      </c>
      <c r="B5" s="17" t="s">
        <v>163</v>
      </c>
      <c r="C5" s="17"/>
      <c r="D5" s="17" t="s">
        <v>163</v>
      </c>
      <c r="E5" s="17" t="s">
        <v>152</v>
      </c>
      <c r="F5" s="17" t="s">
        <v>19</v>
      </c>
      <c r="G5" s="17" t="s">
        <v>28</v>
      </c>
      <c r="H5" s="17" t="s">
        <v>29</v>
      </c>
      <c r="I5" s="17" t="s">
        <v>153</v>
      </c>
      <c r="J5" s="18">
        <v>504</v>
      </c>
      <c r="K5" s="17">
        <v>1</v>
      </c>
      <c r="L5" s="17"/>
      <c r="M5" s="17"/>
      <c r="N5" s="17"/>
      <c r="O5" s="17"/>
      <c r="P5" s="17"/>
      <c r="Q5" s="17"/>
      <c r="R5" s="17">
        <v>0</v>
      </c>
      <c r="S5" s="17"/>
      <c r="T5" s="17"/>
      <c r="U5" s="17"/>
      <c r="V5" s="17">
        <v>0</v>
      </c>
      <c r="W5" s="17"/>
      <c r="X5" s="17"/>
      <c r="Y5" s="18">
        <v>25507.6775787875</v>
      </c>
      <c r="Z5" s="17">
        <v>3316.0824212124</v>
      </c>
      <c r="AA5" s="17">
        <v>28823.76</v>
      </c>
      <c r="AB5" s="17"/>
      <c r="AC5" s="17"/>
      <c r="AD5" s="17"/>
      <c r="AE5" s="17">
        <v>5</v>
      </c>
      <c r="AF5" s="17">
        <v>4.716981132</v>
      </c>
      <c r="AG5" s="17">
        <v>0.283018868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154</v>
      </c>
      <c r="AV5" s="17"/>
      <c r="AW5" s="17"/>
      <c r="AX5" s="17"/>
      <c r="AY5" s="17"/>
      <c r="AZ5" s="17"/>
      <c r="BA5" s="17" t="s">
        <v>155</v>
      </c>
      <c r="BB5" s="17"/>
      <c r="BC5" s="17" t="s">
        <v>156</v>
      </c>
      <c r="BD5" s="17" t="s">
        <v>157</v>
      </c>
      <c r="BE5" s="17" t="s">
        <v>150</v>
      </c>
      <c r="BF5" s="17"/>
      <c r="BG5" s="17" t="s">
        <v>158</v>
      </c>
      <c r="BH5" s="17"/>
      <c r="BI5" s="17"/>
      <c r="BJ5" s="17"/>
      <c r="BK5" s="17"/>
      <c r="BL5" s="17">
        <v>0.13</v>
      </c>
      <c r="BM5" s="17"/>
      <c r="BN5" s="17" t="s">
        <v>164</v>
      </c>
      <c r="BO5" s="17"/>
      <c r="BP5" s="17" t="s">
        <v>160</v>
      </c>
      <c r="BQ5" s="17" t="s">
        <v>161</v>
      </c>
    </row>
    <row r="6" spans="1:69">
      <c r="A6" s="17" t="s">
        <v>150</v>
      </c>
      <c r="B6" s="17" t="s">
        <v>163</v>
      </c>
      <c r="C6" s="17"/>
      <c r="D6" s="17" t="s">
        <v>163</v>
      </c>
      <c r="E6" s="17" t="s">
        <v>152</v>
      </c>
      <c r="F6" s="17" t="s">
        <v>19</v>
      </c>
      <c r="G6" s="17" t="s">
        <v>30</v>
      </c>
      <c r="H6" s="17" t="s">
        <v>31</v>
      </c>
      <c r="I6" s="17" t="s">
        <v>153</v>
      </c>
      <c r="J6" s="18">
        <v>504</v>
      </c>
      <c r="K6" s="17">
        <v>1</v>
      </c>
      <c r="L6" s="17"/>
      <c r="M6" s="17"/>
      <c r="N6" s="17"/>
      <c r="O6" s="17"/>
      <c r="P6" s="17"/>
      <c r="Q6" s="17"/>
      <c r="R6" s="17">
        <v>0</v>
      </c>
      <c r="S6" s="17"/>
      <c r="T6" s="17"/>
      <c r="U6" s="17"/>
      <c r="V6" s="17">
        <v>0</v>
      </c>
      <c r="W6" s="17"/>
      <c r="X6" s="17"/>
      <c r="Y6" s="18">
        <v>25507.6847717092</v>
      </c>
      <c r="Z6" s="17">
        <v>3316.07522829078</v>
      </c>
      <c r="AA6" s="17">
        <v>28823.76</v>
      </c>
      <c r="AB6" s="17"/>
      <c r="AC6" s="17"/>
      <c r="AD6" s="17"/>
      <c r="AE6" s="17">
        <v>5</v>
      </c>
      <c r="AF6" s="17">
        <v>4.716981132</v>
      </c>
      <c r="AG6" s="17">
        <v>0.283018868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154</v>
      </c>
      <c r="AV6" s="17"/>
      <c r="AW6" s="17"/>
      <c r="AX6" s="17"/>
      <c r="AY6" s="17"/>
      <c r="AZ6" s="17"/>
      <c r="BA6" s="17" t="s">
        <v>155</v>
      </c>
      <c r="BB6" s="17"/>
      <c r="BC6" s="17" t="s">
        <v>156</v>
      </c>
      <c r="BD6" s="17" t="s">
        <v>157</v>
      </c>
      <c r="BE6" s="17" t="s">
        <v>150</v>
      </c>
      <c r="BF6" s="17"/>
      <c r="BG6" s="17" t="s">
        <v>158</v>
      </c>
      <c r="BH6" s="17"/>
      <c r="BI6" s="17"/>
      <c r="BJ6" s="17"/>
      <c r="BK6" s="17"/>
      <c r="BL6" s="17">
        <v>0.13</v>
      </c>
      <c r="BM6" s="17"/>
      <c r="BN6" s="17" t="s">
        <v>164</v>
      </c>
      <c r="BO6" s="17"/>
      <c r="BP6" s="17" t="s">
        <v>160</v>
      </c>
      <c r="BQ6" s="17" t="s">
        <v>161</v>
      </c>
    </row>
    <row r="7" spans="1:2">
      <c r="A7" t="s">
        <v>170</v>
      </c>
      <c r="B7" t="s">
        <v>133</v>
      </c>
    </row>
    <row r="8" spans="1:3">
      <c r="A8" t="s">
        <v>86</v>
      </c>
      <c r="B8" t="s">
        <v>157</v>
      </c>
      <c r="C8" t="s">
        <v>171</v>
      </c>
    </row>
    <row r="9" spans="1:3">
      <c r="A9" t="s">
        <v>19</v>
      </c>
      <c r="B9">
        <v>129993.44</v>
      </c>
      <c r="C9">
        <v>129993.44</v>
      </c>
    </row>
    <row r="10" spans="1:3">
      <c r="A10" t="s">
        <v>171</v>
      </c>
      <c r="B10">
        <v>129993.44</v>
      </c>
      <c r="C10">
        <v>129993.44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8"/>
  <sheetViews>
    <sheetView workbookViewId="0">
      <pane xSplit="10" ySplit="1" topLeftCell="BH2" activePane="bottomRight" state="frozen"/>
      <selection/>
      <selection pane="topRight"/>
      <selection pane="bottomLeft"/>
      <selection pane="bottomRight" activeCell="B43" sqref="B43"/>
    </sheetView>
  </sheetViews>
  <sheetFormatPr defaultColWidth="9" defaultRowHeight="13.5" outlineLevelRow="7"/>
  <cols>
    <col min="1" max="1" width="19.5"/>
    <col min="2" max="2" width="17"/>
    <col min="3" max="3" width="9.375"/>
    <col min="6" max="6" width="13" customWidth="1"/>
    <col min="25" max="26" width="12.625"/>
    <col min="27" max="27" width="9.375"/>
    <col min="32" max="33" width="12.625"/>
  </cols>
  <sheetData>
    <row r="1" spans="1:72">
      <c r="A1" s="17" t="s">
        <v>81</v>
      </c>
      <c r="B1" s="17" t="s">
        <v>82</v>
      </c>
      <c r="C1" s="17" t="s">
        <v>83</v>
      </c>
      <c r="D1" s="17" t="s">
        <v>84</v>
      </c>
      <c r="E1" s="17" t="s">
        <v>85</v>
      </c>
      <c r="F1" s="17" t="s">
        <v>86</v>
      </c>
      <c r="G1" s="17" t="s">
        <v>87</v>
      </c>
      <c r="H1" s="17" t="s">
        <v>88</v>
      </c>
      <c r="I1" s="17" t="s">
        <v>89</v>
      </c>
      <c r="J1" s="17" t="s">
        <v>90</v>
      </c>
      <c r="K1" s="17" t="s">
        <v>91</v>
      </c>
      <c r="L1" s="17" t="s">
        <v>92</v>
      </c>
      <c r="M1" s="17" t="s">
        <v>93</v>
      </c>
      <c r="N1" s="17" t="s">
        <v>94</v>
      </c>
      <c r="O1" s="17" t="s">
        <v>95</v>
      </c>
      <c r="P1" s="17" t="s">
        <v>96</v>
      </c>
      <c r="Q1" s="17" t="s">
        <v>97</v>
      </c>
      <c r="R1" s="17" t="s">
        <v>98</v>
      </c>
      <c r="S1" s="17" t="s">
        <v>99</v>
      </c>
      <c r="T1" s="17" t="s">
        <v>100</v>
      </c>
      <c r="U1" s="17" t="s">
        <v>101</v>
      </c>
      <c r="V1" s="17" t="s">
        <v>102</v>
      </c>
      <c r="W1" s="17" t="s">
        <v>103</v>
      </c>
      <c r="X1" s="17" t="s">
        <v>104</v>
      </c>
      <c r="Y1" s="17" t="s">
        <v>105</v>
      </c>
      <c r="Z1" s="17" t="s">
        <v>106</v>
      </c>
      <c r="AA1" s="17" t="s">
        <v>107</v>
      </c>
      <c r="AB1" s="17" t="s">
        <v>110</v>
      </c>
      <c r="AC1" s="17" t="s">
        <v>111</v>
      </c>
      <c r="AD1" s="17" t="s">
        <v>112</v>
      </c>
      <c r="AE1" s="17" t="s">
        <v>113</v>
      </c>
      <c r="AF1" s="17" t="s">
        <v>114</v>
      </c>
      <c r="AG1" s="17" t="s">
        <v>115</v>
      </c>
      <c r="AH1" s="17" t="s">
        <v>116</v>
      </c>
      <c r="AI1" s="17" t="s">
        <v>117</v>
      </c>
      <c r="AJ1" s="17" t="s">
        <v>118</v>
      </c>
      <c r="AK1" s="17" t="s">
        <v>119</v>
      </c>
      <c r="AL1" s="17" t="s">
        <v>120</v>
      </c>
      <c r="AM1" s="17" t="s">
        <v>121</v>
      </c>
      <c r="AN1" s="17" t="s">
        <v>122</v>
      </c>
      <c r="AO1" s="17" t="s">
        <v>123</v>
      </c>
      <c r="AP1" s="17" t="s">
        <v>124</v>
      </c>
      <c r="AQ1" s="17" t="s">
        <v>125</v>
      </c>
      <c r="AR1" s="17" t="s">
        <v>126</v>
      </c>
      <c r="AS1" s="17" t="s">
        <v>127</v>
      </c>
      <c r="AT1" s="17" t="s">
        <v>128</v>
      </c>
      <c r="AU1" s="17" t="s">
        <v>129</v>
      </c>
      <c r="AV1" s="17" t="s">
        <v>11</v>
      </c>
      <c r="AW1" s="17" t="s">
        <v>12</v>
      </c>
      <c r="AX1" s="17" t="s">
        <v>13</v>
      </c>
      <c r="AY1" s="17" t="s">
        <v>9</v>
      </c>
      <c r="AZ1" s="17" t="s">
        <v>10</v>
      </c>
      <c r="BA1" s="17" t="s">
        <v>130</v>
      </c>
      <c r="BB1" s="17" t="s">
        <v>131</v>
      </c>
      <c r="BC1" s="17" t="s">
        <v>132</v>
      </c>
      <c r="BD1" s="17" t="s">
        <v>133</v>
      </c>
      <c r="BE1" s="17" t="s">
        <v>134</v>
      </c>
      <c r="BF1" s="17" t="s">
        <v>135</v>
      </c>
      <c r="BG1" s="17" t="s">
        <v>136</v>
      </c>
      <c r="BH1" s="17" t="s">
        <v>137</v>
      </c>
      <c r="BI1" s="17" t="s">
        <v>138</v>
      </c>
      <c r="BJ1" s="17" t="s">
        <v>139</v>
      </c>
      <c r="BK1" s="17" t="s">
        <v>140</v>
      </c>
      <c r="BL1" s="17" t="s">
        <v>141</v>
      </c>
      <c r="BM1" s="17" t="s">
        <v>142</v>
      </c>
      <c r="BN1" s="17" t="s">
        <v>143</v>
      </c>
      <c r="BO1" s="17" t="s">
        <v>144</v>
      </c>
      <c r="BP1" s="17" t="s">
        <v>145</v>
      </c>
      <c r="BQ1" s="17" t="s">
        <v>146</v>
      </c>
      <c r="BR1" s="19" t="s">
        <v>147</v>
      </c>
      <c r="BS1" s="19" t="s">
        <v>148</v>
      </c>
      <c r="BT1" s="19" t="s">
        <v>149</v>
      </c>
    </row>
    <row r="2" spans="1:72">
      <c r="A2" s="17" t="s">
        <v>150</v>
      </c>
      <c r="B2" s="17" t="s">
        <v>151</v>
      </c>
      <c r="C2" s="17"/>
      <c r="D2" s="17" t="s">
        <v>151</v>
      </c>
      <c r="E2" s="17" t="s">
        <v>152</v>
      </c>
      <c r="F2" s="17" t="s">
        <v>26</v>
      </c>
      <c r="G2" s="17" t="s">
        <v>28</v>
      </c>
      <c r="H2" s="17" t="s">
        <v>29</v>
      </c>
      <c r="I2" s="17" t="s">
        <v>153</v>
      </c>
      <c r="J2" s="18">
        <v>360</v>
      </c>
      <c r="K2" s="17">
        <v>1</v>
      </c>
      <c r="L2" s="17"/>
      <c r="M2" s="17"/>
      <c r="N2" s="17"/>
      <c r="O2" s="17"/>
      <c r="P2" s="17"/>
      <c r="Q2" s="17"/>
      <c r="R2" s="17">
        <v>0</v>
      </c>
      <c r="S2" s="17"/>
      <c r="T2" s="17"/>
      <c r="U2" s="17"/>
      <c r="V2" s="17">
        <v>0</v>
      </c>
      <c r="W2" s="17"/>
      <c r="X2" s="17"/>
      <c r="Y2" s="18">
        <v>18219.7696991339</v>
      </c>
      <c r="Z2" s="17">
        <v>2368.630300866</v>
      </c>
      <c r="AA2" s="17">
        <v>20588.4</v>
      </c>
      <c r="AB2" s="17"/>
      <c r="AC2" s="17"/>
      <c r="AD2" s="17"/>
      <c r="AE2" s="17">
        <v>5</v>
      </c>
      <c r="AF2" s="17">
        <v>4.716981132</v>
      </c>
      <c r="AG2" s="17">
        <v>0.283018868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154</v>
      </c>
      <c r="AV2" s="17"/>
      <c r="AW2" s="17"/>
      <c r="AX2" s="17"/>
      <c r="AY2" s="17"/>
      <c r="AZ2" s="17"/>
      <c r="BA2" s="17" t="s">
        <v>155</v>
      </c>
      <c r="BB2" s="17"/>
      <c r="BC2" s="17" t="s">
        <v>156</v>
      </c>
      <c r="BD2" s="17" t="s">
        <v>157</v>
      </c>
      <c r="BE2" s="17" t="s">
        <v>150</v>
      </c>
      <c r="BF2" s="17"/>
      <c r="BG2" s="17" t="s">
        <v>158</v>
      </c>
      <c r="BH2" s="17"/>
      <c r="BI2" s="17"/>
      <c r="BJ2" s="17"/>
      <c r="BK2" s="17"/>
      <c r="BL2" s="17">
        <v>0.13</v>
      </c>
      <c r="BM2" s="17"/>
      <c r="BN2" s="17" t="s">
        <v>159</v>
      </c>
      <c r="BO2" s="17"/>
      <c r="BP2" s="17" t="s">
        <v>160</v>
      </c>
      <c r="BQ2" s="17" t="s">
        <v>161</v>
      </c>
      <c r="BR2" s="17"/>
      <c r="BS2" t="s">
        <v>162</v>
      </c>
      <c r="BT2" t="s">
        <v>36</v>
      </c>
    </row>
    <row r="3" spans="1:72">
      <c r="A3" s="17" t="s">
        <v>150</v>
      </c>
      <c r="B3" s="17" t="s">
        <v>151</v>
      </c>
      <c r="C3" s="17"/>
      <c r="D3" s="17" t="s">
        <v>151</v>
      </c>
      <c r="E3" s="17" t="s">
        <v>152</v>
      </c>
      <c r="F3" s="17" t="s">
        <v>26</v>
      </c>
      <c r="G3" s="17" t="s">
        <v>28</v>
      </c>
      <c r="H3" s="17" t="s">
        <v>29</v>
      </c>
      <c r="I3" s="17" t="s">
        <v>153</v>
      </c>
      <c r="J3" s="18">
        <v>144</v>
      </c>
      <c r="K3" s="17">
        <v>1</v>
      </c>
      <c r="L3" s="17"/>
      <c r="M3" s="17"/>
      <c r="N3" s="17"/>
      <c r="O3" s="17"/>
      <c r="P3" s="17"/>
      <c r="Q3" s="17"/>
      <c r="R3" s="17">
        <v>0</v>
      </c>
      <c r="S3" s="17"/>
      <c r="T3" s="17"/>
      <c r="U3" s="17"/>
      <c r="V3" s="17">
        <v>0</v>
      </c>
      <c r="W3" s="17"/>
      <c r="X3" s="17"/>
      <c r="Y3" s="18">
        <v>7287.90787965359</v>
      </c>
      <c r="Z3" s="17">
        <v>947.452120346401</v>
      </c>
      <c r="AA3" s="17">
        <v>8235.36</v>
      </c>
      <c r="AB3" s="17"/>
      <c r="AC3" s="17"/>
      <c r="AD3" s="17"/>
      <c r="AE3" s="17">
        <v>5</v>
      </c>
      <c r="AF3" s="17">
        <v>4.716981132</v>
      </c>
      <c r="AG3" s="17">
        <v>0.283018868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154</v>
      </c>
      <c r="AV3" s="17"/>
      <c r="AW3" s="17"/>
      <c r="AX3" s="17"/>
      <c r="AY3" s="17"/>
      <c r="AZ3" s="17"/>
      <c r="BA3" s="17" t="s">
        <v>155</v>
      </c>
      <c r="BB3" s="17"/>
      <c r="BC3" s="17" t="s">
        <v>156</v>
      </c>
      <c r="BD3" s="17" t="s">
        <v>157</v>
      </c>
      <c r="BE3" s="17" t="s">
        <v>150</v>
      </c>
      <c r="BF3" s="17"/>
      <c r="BG3" s="17" t="s">
        <v>158</v>
      </c>
      <c r="BH3" s="17"/>
      <c r="BI3" s="17"/>
      <c r="BJ3" s="17"/>
      <c r="BK3" s="17"/>
      <c r="BL3" s="17">
        <v>0.13</v>
      </c>
      <c r="BM3" s="17"/>
      <c r="BN3" s="17" t="s">
        <v>159</v>
      </c>
      <c r="BO3" s="17"/>
      <c r="BP3" s="17" t="s">
        <v>160</v>
      </c>
      <c r="BQ3" s="17" t="s">
        <v>161</v>
      </c>
      <c r="BR3" s="17"/>
      <c r="BS3" t="s">
        <v>162</v>
      </c>
      <c r="BT3" t="s">
        <v>36</v>
      </c>
    </row>
    <row r="4" spans="1:72">
      <c r="A4" s="17" t="s">
        <v>150</v>
      </c>
      <c r="B4" s="17" t="s">
        <v>151</v>
      </c>
      <c r="C4" s="17"/>
      <c r="D4" s="17" t="s">
        <v>151</v>
      </c>
      <c r="E4" s="17" t="s">
        <v>152</v>
      </c>
      <c r="F4" s="17" t="s">
        <v>26</v>
      </c>
      <c r="G4" s="17" t="s">
        <v>30</v>
      </c>
      <c r="H4" s="17" t="s">
        <v>31</v>
      </c>
      <c r="I4" s="17" t="s">
        <v>153</v>
      </c>
      <c r="J4" s="18">
        <v>504</v>
      </c>
      <c r="K4" s="17">
        <v>1</v>
      </c>
      <c r="L4" s="17"/>
      <c r="M4" s="17"/>
      <c r="N4" s="17"/>
      <c r="O4" s="17"/>
      <c r="P4" s="17"/>
      <c r="Q4" s="17"/>
      <c r="R4" s="17">
        <v>0</v>
      </c>
      <c r="S4" s="17"/>
      <c r="T4" s="17"/>
      <c r="U4" s="17"/>
      <c r="V4" s="17">
        <v>0</v>
      </c>
      <c r="W4" s="17"/>
      <c r="X4" s="17"/>
      <c r="Y4" s="18">
        <v>25507.6847717092</v>
      </c>
      <c r="Z4" s="17">
        <v>3316.07522829078</v>
      </c>
      <c r="AA4" s="17">
        <v>28823.76</v>
      </c>
      <c r="AB4" s="17"/>
      <c r="AC4" s="17"/>
      <c r="AD4" s="17"/>
      <c r="AE4" s="17">
        <v>5</v>
      </c>
      <c r="AF4" s="17">
        <v>4.716981132</v>
      </c>
      <c r="AG4" s="17">
        <v>0.283018868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154</v>
      </c>
      <c r="AV4" s="17"/>
      <c r="AW4" s="17"/>
      <c r="AX4" s="17"/>
      <c r="AY4" s="17"/>
      <c r="AZ4" s="17"/>
      <c r="BA4" s="17" t="s">
        <v>155</v>
      </c>
      <c r="BB4" s="17"/>
      <c r="BC4" s="17" t="s">
        <v>156</v>
      </c>
      <c r="BD4" s="17" t="s">
        <v>157</v>
      </c>
      <c r="BE4" s="17" t="s">
        <v>150</v>
      </c>
      <c r="BF4" s="17"/>
      <c r="BG4" s="17" t="s">
        <v>158</v>
      </c>
      <c r="BH4" s="17"/>
      <c r="BI4" s="17"/>
      <c r="BJ4" s="17"/>
      <c r="BK4" s="17"/>
      <c r="BL4" s="17">
        <v>0.13</v>
      </c>
      <c r="BM4" s="17"/>
      <c r="BN4" s="17" t="s">
        <v>159</v>
      </c>
      <c r="BO4" s="17"/>
      <c r="BP4" s="17" t="s">
        <v>160</v>
      </c>
      <c r="BQ4" s="17" t="s">
        <v>161</v>
      </c>
      <c r="BR4" s="17"/>
      <c r="BS4" t="s">
        <v>162</v>
      </c>
      <c r="BT4" t="s">
        <v>36</v>
      </c>
    </row>
    <row r="5" spans="1:2">
      <c r="A5" t="s">
        <v>170</v>
      </c>
      <c r="B5" t="s">
        <v>133</v>
      </c>
    </row>
    <row r="6" spans="1:3">
      <c r="A6" t="s">
        <v>86</v>
      </c>
      <c r="B6" t="s">
        <v>157</v>
      </c>
      <c r="C6" t="s">
        <v>171</v>
      </c>
    </row>
    <row r="7" spans="1:3">
      <c r="A7" t="s">
        <v>26</v>
      </c>
      <c r="B7">
        <v>57647.52</v>
      </c>
      <c r="C7">
        <v>57647.52</v>
      </c>
    </row>
    <row r="8" spans="1:3">
      <c r="A8" t="s">
        <v>171</v>
      </c>
      <c r="B8">
        <v>57647.52</v>
      </c>
      <c r="C8">
        <v>57647.52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A17"/>
  <sheetViews>
    <sheetView topLeftCell="J1" workbookViewId="0">
      <selection activeCell="X1" sqref="X$1:X$1048576"/>
    </sheetView>
  </sheetViews>
  <sheetFormatPr defaultColWidth="9" defaultRowHeight="13.5"/>
  <cols>
    <col min="1" max="1" width="24" customWidth="1"/>
    <col min="2" max="4" width="17"/>
    <col min="5" max="5" width="15.625" customWidth="1"/>
    <col min="6" max="7" width="20.25"/>
    <col min="8" max="8" width="24.5"/>
    <col min="9" max="9" width="18.25"/>
    <col min="10" max="10" width="13.25" customWidth="1"/>
    <col min="12" max="12" width="22.75" customWidth="1"/>
    <col min="19" max="19" width="13.75" customWidth="1"/>
    <col min="20" max="20" width="13.375" customWidth="1"/>
    <col min="21" max="21" width="14.875" customWidth="1"/>
    <col min="22" max="23" width="12.625"/>
    <col min="24" max="25" width="11.5"/>
    <col min="26" max="30" width="9" customWidth="1"/>
    <col min="31" max="31" width="10.375" customWidth="1"/>
    <col min="32" max="33" width="9" customWidth="1"/>
    <col min="34" max="34" width="12.875" customWidth="1"/>
    <col min="35" max="35" width="15" customWidth="1"/>
    <col min="36" max="36" width="12.625" customWidth="1"/>
    <col min="37" max="50" width="9" customWidth="1"/>
    <col min="52" max="53" width="12.625"/>
  </cols>
  <sheetData>
    <row r="1" s="1" customFormat="1" spans="1:53">
      <c r="A1" s="2" t="s">
        <v>177</v>
      </c>
      <c r="B1" s="2" t="s">
        <v>89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287</v>
      </c>
      <c r="I1" s="1" t="s">
        <v>288</v>
      </c>
      <c r="J1" s="1" t="s">
        <v>2</v>
      </c>
      <c r="K1" s="1" t="s">
        <v>87</v>
      </c>
      <c r="L1" s="1" t="s">
        <v>88</v>
      </c>
      <c r="M1" s="1" t="s">
        <v>89</v>
      </c>
      <c r="N1" s="6" t="s">
        <v>289</v>
      </c>
      <c r="O1" s="6" t="s">
        <v>290</v>
      </c>
      <c r="P1" s="6" t="s">
        <v>291</v>
      </c>
      <c r="Q1" s="7" t="s">
        <v>90</v>
      </c>
      <c r="R1" s="1" t="s">
        <v>91</v>
      </c>
      <c r="S1" s="8" t="s">
        <v>292</v>
      </c>
      <c r="T1" s="8" t="s">
        <v>293</v>
      </c>
      <c r="U1" s="9" t="s">
        <v>294</v>
      </c>
      <c r="V1" s="10" t="s">
        <v>105</v>
      </c>
      <c r="W1" s="10" t="s">
        <v>106</v>
      </c>
      <c r="X1" s="10" t="s">
        <v>107</v>
      </c>
      <c r="Y1" s="10"/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3" t="s">
        <v>11</v>
      </c>
      <c r="AF1" s="13" t="s">
        <v>12</v>
      </c>
      <c r="AG1" s="13" t="s">
        <v>13</v>
      </c>
      <c r="AH1" s="13" t="s">
        <v>9</v>
      </c>
      <c r="AI1" s="13" t="s">
        <v>10</v>
      </c>
      <c r="AJ1" s="13" t="s">
        <v>300</v>
      </c>
      <c r="AK1" s="1" t="s">
        <v>135</v>
      </c>
      <c r="AL1" s="1" t="s">
        <v>132</v>
      </c>
      <c r="AM1" s="1" t="s">
        <v>133</v>
      </c>
      <c r="AN1" s="1" t="s">
        <v>134</v>
      </c>
      <c r="AO1" s="1" t="s">
        <v>139</v>
      </c>
      <c r="AP1" s="1" t="s">
        <v>140</v>
      </c>
      <c r="AQ1" s="1" t="s">
        <v>130</v>
      </c>
      <c r="AR1" s="1" t="s">
        <v>136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Z1" s="16" t="s">
        <v>301</v>
      </c>
      <c r="BA1" s="16" t="s">
        <v>302</v>
      </c>
    </row>
    <row r="2" s="1" customFormat="1" ht="15" spans="1:53">
      <c r="A2" s="2" t="s">
        <v>303</v>
      </c>
      <c r="B2" s="2" t="s">
        <v>304</v>
      </c>
      <c r="C2" s="3" t="s">
        <v>150</v>
      </c>
      <c r="D2" s="1" t="s">
        <v>305</v>
      </c>
      <c r="E2" s="4">
        <v>960</v>
      </c>
      <c r="F2" s="5"/>
      <c r="G2" s="3" t="s">
        <v>152</v>
      </c>
      <c r="H2" s="1" t="s">
        <v>306</v>
      </c>
      <c r="I2" s="1" t="s">
        <v>307</v>
      </c>
      <c r="J2" s="1" t="s">
        <v>19</v>
      </c>
      <c r="K2" s="1" t="s">
        <v>20</v>
      </c>
      <c r="L2" s="1" t="s">
        <v>21</v>
      </c>
      <c r="M2" s="1" t="s">
        <v>157</v>
      </c>
      <c r="N2" s="7" t="s">
        <v>20</v>
      </c>
      <c r="O2" s="7" t="s">
        <v>21</v>
      </c>
      <c r="P2" s="1">
        <v>960</v>
      </c>
      <c r="Q2" s="7">
        <v>960</v>
      </c>
      <c r="R2" s="5">
        <v>1</v>
      </c>
      <c r="S2" s="11">
        <v>0</v>
      </c>
      <c r="T2" s="11">
        <v>0</v>
      </c>
      <c r="U2" s="12">
        <v>0</v>
      </c>
      <c r="V2" s="13">
        <v>46700.19</v>
      </c>
      <c r="W2" s="13">
        <v>6071.01</v>
      </c>
      <c r="X2" s="13">
        <v>52771.2</v>
      </c>
      <c r="Y2" s="13">
        <f>Q2*5.3</f>
        <v>5088</v>
      </c>
      <c r="AB2" s="13">
        <v>0</v>
      </c>
      <c r="AC2" s="13">
        <v>0</v>
      </c>
      <c r="AD2" s="13">
        <v>0</v>
      </c>
      <c r="AE2" s="14">
        <v>28065.7600686737</v>
      </c>
      <c r="AF2" s="14">
        <v>4452.42991095386</v>
      </c>
      <c r="AG2" s="14">
        <v>4292.74508094055</v>
      </c>
      <c r="AH2" s="15">
        <v>39681.0337680268</v>
      </c>
      <c r="AI2" s="15">
        <v>36810.9350605685</v>
      </c>
      <c r="AJ2" s="15">
        <v>2870.0987074583</v>
      </c>
      <c r="AL2" s="1" t="s">
        <v>156</v>
      </c>
      <c r="AM2" s="1" t="s">
        <v>157</v>
      </c>
      <c r="AN2" s="1" t="s">
        <v>150</v>
      </c>
      <c r="AS2" s="5">
        <v>0.13</v>
      </c>
      <c r="AZ2" s="1">
        <v>101568</v>
      </c>
      <c r="BA2" s="1">
        <v>105.8</v>
      </c>
    </row>
    <row r="3" s="1" customFormat="1" ht="15" spans="1:53">
      <c r="A3" s="2" t="s">
        <v>308</v>
      </c>
      <c r="B3" s="2" t="s">
        <v>304</v>
      </c>
      <c r="C3" s="3" t="s">
        <v>150</v>
      </c>
      <c r="D3" s="1" t="s">
        <v>305</v>
      </c>
      <c r="E3" s="4">
        <v>480</v>
      </c>
      <c r="F3" s="5"/>
      <c r="G3" s="3" t="s">
        <v>152</v>
      </c>
      <c r="H3" s="1" t="s">
        <v>306</v>
      </c>
      <c r="I3" s="1" t="s">
        <v>307</v>
      </c>
      <c r="J3" s="1" t="s">
        <v>19</v>
      </c>
      <c r="K3" s="1" t="s">
        <v>22</v>
      </c>
      <c r="L3" s="1" t="s">
        <v>23</v>
      </c>
      <c r="M3" s="1" t="s">
        <v>157</v>
      </c>
      <c r="N3" s="7" t="s">
        <v>22</v>
      </c>
      <c r="O3" s="7" t="s">
        <v>23</v>
      </c>
      <c r="P3" s="1">
        <v>480</v>
      </c>
      <c r="Q3" s="7">
        <v>480</v>
      </c>
      <c r="R3" s="5">
        <v>1</v>
      </c>
      <c r="S3" s="11">
        <v>0</v>
      </c>
      <c r="T3" s="11">
        <v>0</v>
      </c>
      <c r="U3" s="12">
        <v>0</v>
      </c>
      <c r="V3" s="13">
        <v>23350.13</v>
      </c>
      <c r="W3" s="13">
        <v>3035.47</v>
      </c>
      <c r="X3" s="13">
        <v>26385.6</v>
      </c>
      <c r="Y3" s="13">
        <f>Q3*5.3</f>
        <v>2544</v>
      </c>
      <c r="AB3" s="13">
        <v>0</v>
      </c>
      <c r="AC3" s="13">
        <v>0</v>
      </c>
      <c r="AD3" s="13">
        <v>0</v>
      </c>
      <c r="AE3" s="14">
        <v>14266.1069798634</v>
      </c>
      <c r="AF3" s="14">
        <v>2226.21121425621</v>
      </c>
      <c r="AG3" s="14">
        <v>2146.36454575767</v>
      </c>
      <c r="AH3" s="15">
        <v>20096.5122394964</v>
      </c>
      <c r="AI3" s="15">
        <v>18638.6827398773</v>
      </c>
      <c r="AJ3" s="15">
        <v>1457.8294996191</v>
      </c>
      <c r="AL3" s="1" t="s">
        <v>156</v>
      </c>
      <c r="AM3" s="1" t="s">
        <v>157</v>
      </c>
      <c r="AN3" s="1" t="s">
        <v>150</v>
      </c>
      <c r="AS3" s="5">
        <v>0.13</v>
      </c>
      <c r="AZ3" s="1">
        <v>50784</v>
      </c>
      <c r="BA3" s="1">
        <v>105.8</v>
      </c>
    </row>
    <row r="4" s="1" customFormat="1" ht="15" spans="1:53">
      <c r="A4" s="2" t="s">
        <v>309</v>
      </c>
      <c r="B4" s="2" t="s">
        <v>304</v>
      </c>
      <c r="C4" s="3" t="s">
        <v>150</v>
      </c>
      <c r="D4" s="1" t="s">
        <v>310</v>
      </c>
      <c r="E4" s="4">
        <v>48</v>
      </c>
      <c r="F4" s="5"/>
      <c r="G4" s="3" t="s">
        <v>152</v>
      </c>
      <c r="H4" s="1" t="s">
        <v>306</v>
      </c>
      <c r="I4" s="1" t="s">
        <v>307</v>
      </c>
      <c r="J4" s="1" t="s">
        <v>19</v>
      </c>
      <c r="K4" s="1" t="s">
        <v>24</v>
      </c>
      <c r="L4" s="1" t="s">
        <v>25</v>
      </c>
      <c r="M4" s="1" t="s">
        <v>211</v>
      </c>
      <c r="N4" s="7" t="s">
        <v>24</v>
      </c>
      <c r="O4" s="7" t="s">
        <v>25</v>
      </c>
      <c r="P4" s="1">
        <v>48</v>
      </c>
      <c r="Q4" s="7">
        <v>48</v>
      </c>
      <c r="R4" s="5">
        <v>1</v>
      </c>
      <c r="S4" s="11">
        <v>0</v>
      </c>
      <c r="T4" s="11">
        <v>0</v>
      </c>
      <c r="U4" s="12">
        <v>0</v>
      </c>
      <c r="V4" s="13">
        <v>191.16</v>
      </c>
      <c r="W4" s="13">
        <v>24.84</v>
      </c>
      <c r="X4" s="13">
        <v>216</v>
      </c>
      <c r="Y4" s="13"/>
      <c r="AB4" s="13">
        <v>0</v>
      </c>
      <c r="AC4" s="13">
        <v>0</v>
      </c>
      <c r="AD4" s="13">
        <v>0</v>
      </c>
      <c r="AE4" s="14">
        <v>170.071986754966</v>
      </c>
      <c r="AF4" s="14">
        <v>0</v>
      </c>
      <c r="AG4" s="14">
        <v>0</v>
      </c>
      <c r="AH4" s="15">
        <v>186.683727099183</v>
      </c>
      <c r="AI4" s="15">
        <v>170.071986754966</v>
      </c>
      <c r="AJ4" s="15">
        <v>16.611740344217</v>
      </c>
      <c r="AL4" s="1" t="s">
        <v>156</v>
      </c>
      <c r="AM4" s="1" t="s">
        <v>212</v>
      </c>
      <c r="AN4" s="1" t="s">
        <v>150</v>
      </c>
      <c r="AS4" s="5">
        <v>0.13</v>
      </c>
      <c r="AZ4" s="1">
        <v>960</v>
      </c>
      <c r="BA4" s="1">
        <v>20</v>
      </c>
    </row>
    <row r="5" s="1" customFormat="1" ht="15" spans="1:53">
      <c r="A5" s="2" t="s">
        <v>311</v>
      </c>
      <c r="B5" s="2" t="s">
        <v>304</v>
      </c>
      <c r="C5" s="3" t="s">
        <v>150</v>
      </c>
      <c r="D5" s="1" t="s">
        <v>312</v>
      </c>
      <c r="E5" s="4">
        <v>48</v>
      </c>
      <c r="F5" s="5"/>
      <c r="G5" s="3" t="s">
        <v>152</v>
      </c>
      <c r="H5" s="1" t="s">
        <v>306</v>
      </c>
      <c r="I5" s="1" t="s">
        <v>307</v>
      </c>
      <c r="J5" s="1" t="s">
        <v>19</v>
      </c>
      <c r="K5" s="1" t="s">
        <v>24</v>
      </c>
      <c r="L5" s="1" t="s">
        <v>25</v>
      </c>
      <c r="M5" s="1" t="s">
        <v>211</v>
      </c>
      <c r="N5" s="7" t="s">
        <v>24</v>
      </c>
      <c r="O5" s="7" t="s">
        <v>25</v>
      </c>
      <c r="P5" s="1">
        <v>48</v>
      </c>
      <c r="Q5" s="7">
        <v>48</v>
      </c>
      <c r="R5" s="5">
        <v>1</v>
      </c>
      <c r="S5" s="11">
        <v>0</v>
      </c>
      <c r="T5" s="11">
        <v>0</v>
      </c>
      <c r="U5" s="12">
        <v>0</v>
      </c>
      <c r="V5" s="13">
        <v>191.16</v>
      </c>
      <c r="W5" s="13">
        <v>24.84</v>
      </c>
      <c r="X5" s="13">
        <v>216</v>
      </c>
      <c r="Y5" s="13"/>
      <c r="AB5" s="13">
        <v>0</v>
      </c>
      <c r="AC5" s="13">
        <v>0</v>
      </c>
      <c r="AD5" s="13">
        <v>0</v>
      </c>
      <c r="AE5" s="14">
        <v>170.071986754966</v>
      </c>
      <c r="AF5" s="14">
        <v>0</v>
      </c>
      <c r="AG5" s="14">
        <v>0</v>
      </c>
      <c r="AH5" s="15">
        <v>186.683727099183</v>
      </c>
      <c r="AI5" s="15">
        <v>170.071986754966</v>
      </c>
      <c r="AJ5" s="15">
        <v>16.611740344217</v>
      </c>
      <c r="AL5" s="1" t="s">
        <v>156</v>
      </c>
      <c r="AM5" s="1" t="s">
        <v>212</v>
      </c>
      <c r="AN5" s="1" t="s">
        <v>150</v>
      </c>
      <c r="AS5" s="5">
        <v>0.13</v>
      </c>
      <c r="AZ5" s="1">
        <v>960</v>
      </c>
      <c r="BA5" s="1">
        <v>20</v>
      </c>
    </row>
    <row r="6" s="1" customFormat="1" ht="15" spans="1:53">
      <c r="A6" s="2" t="s">
        <v>313</v>
      </c>
      <c r="B6" s="2" t="s">
        <v>314</v>
      </c>
      <c r="C6" s="3" t="s">
        <v>150</v>
      </c>
      <c r="D6" s="1" t="s">
        <v>312</v>
      </c>
      <c r="E6" s="4">
        <v>59</v>
      </c>
      <c r="F6" s="5"/>
      <c r="G6" s="3" t="s">
        <v>152</v>
      </c>
      <c r="H6" s="1" t="s">
        <v>306</v>
      </c>
      <c r="I6" s="1" t="s">
        <v>307</v>
      </c>
      <c r="J6" s="1" t="s">
        <v>19</v>
      </c>
      <c r="K6" s="1" t="s">
        <v>24</v>
      </c>
      <c r="L6" s="1" t="s">
        <v>25</v>
      </c>
      <c r="M6" s="1" t="s">
        <v>211</v>
      </c>
      <c r="N6" s="7" t="s">
        <v>24</v>
      </c>
      <c r="O6" s="7" t="s">
        <v>25</v>
      </c>
      <c r="P6" s="1">
        <v>37</v>
      </c>
      <c r="Q6" s="7">
        <v>37</v>
      </c>
      <c r="R6" s="5">
        <v>1</v>
      </c>
      <c r="S6" s="11">
        <v>1180</v>
      </c>
      <c r="T6" s="11">
        <v>135.75</v>
      </c>
      <c r="U6" s="12">
        <v>1044.25</v>
      </c>
      <c r="V6" s="13">
        <v>147.35</v>
      </c>
      <c r="W6" s="13">
        <f>X6-V6</f>
        <v>19.15</v>
      </c>
      <c r="X6" s="13">
        <v>166.5</v>
      </c>
      <c r="Y6" s="13"/>
      <c r="AB6" s="13">
        <v>0</v>
      </c>
      <c r="AC6" s="13">
        <v>0</v>
      </c>
      <c r="AD6" s="13">
        <v>0</v>
      </c>
      <c r="AE6" s="14">
        <f>340.143973509933-209.0468</f>
        <v>131.097173509933</v>
      </c>
      <c r="AF6" s="14">
        <v>0</v>
      </c>
      <c r="AG6" s="14">
        <v>0</v>
      </c>
      <c r="AH6" s="15">
        <f>373.367454198366-229.4654146</f>
        <v>143.902039598366</v>
      </c>
      <c r="AI6" s="15">
        <f>340.143973509933-209.0468171</f>
        <v>131.097156409933</v>
      </c>
      <c r="AJ6" s="15">
        <f>33.223480688433-20.4186</f>
        <v>12.804880688433</v>
      </c>
      <c r="AL6" s="1" t="s">
        <v>156</v>
      </c>
      <c r="AM6" s="1" t="s">
        <v>212</v>
      </c>
      <c r="AN6" s="1" t="s">
        <v>150</v>
      </c>
      <c r="AS6" s="5">
        <v>0.13</v>
      </c>
      <c r="AZ6" s="1">
        <v>740</v>
      </c>
      <c r="BA6" s="1">
        <v>20</v>
      </c>
    </row>
    <row r="7" spans="3:3">
      <c r="C7" t="s">
        <v>133</v>
      </c>
    </row>
    <row r="8" spans="1:5">
      <c r="A8" t="s">
        <v>315</v>
      </c>
      <c r="B8" t="s">
        <v>288</v>
      </c>
      <c r="C8" t="s">
        <v>157</v>
      </c>
      <c r="D8" t="s">
        <v>212</v>
      </c>
      <c r="E8" t="s">
        <v>171</v>
      </c>
    </row>
    <row r="9" spans="1:1">
      <c r="A9" t="s">
        <v>168</v>
      </c>
    </row>
    <row r="10" spans="2:5">
      <c r="B10" t="s">
        <v>307</v>
      </c>
      <c r="C10">
        <v>70050.32</v>
      </c>
      <c r="D10">
        <v>529.67</v>
      </c>
      <c r="E10">
        <v>70579.99</v>
      </c>
    </row>
    <row r="11" spans="1:1">
      <c r="A11" t="s">
        <v>169</v>
      </c>
    </row>
    <row r="12" spans="2:5">
      <c r="B12" t="s">
        <v>307</v>
      </c>
      <c r="C12">
        <v>9106.48</v>
      </c>
      <c r="D12">
        <v>68.83</v>
      </c>
      <c r="E12">
        <v>9175.31</v>
      </c>
    </row>
    <row r="13" spans="1:1">
      <c r="A13" t="s">
        <v>170</v>
      </c>
    </row>
    <row r="14" spans="2:5">
      <c r="B14" t="s">
        <v>307</v>
      </c>
      <c r="C14">
        <v>79156.8</v>
      </c>
      <c r="D14">
        <v>598.5</v>
      </c>
      <c r="E14">
        <v>79755.3</v>
      </c>
    </row>
    <row r="15" spans="1:5">
      <c r="A15" t="s">
        <v>316</v>
      </c>
      <c r="C15">
        <v>70050.32</v>
      </c>
      <c r="D15">
        <v>529.67</v>
      </c>
      <c r="E15">
        <v>70579.99</v>
      </c>
    </row>
    <row r="16" spans="1:5">
      <c r="A16" t="s">
        <v>317</v>
      </c>
      <c r="C16">
        <v>9106.48</v>
      </c>
      <c r="D16">
        <v>68.83</v>
      </c>
      <c r="E16">
        <v>9175.31</v>
      </c>
    </row>
    <row r="17" spans="1:5">
      <c r="A17" t="s">
        <v>318</v>
      </c>
      <c r="C17">
        <v>79156.8</v>
      </c>
      <c r="D17">
        <v>598.5</v>
      </c>
      <c r="E17">
        <v>79755.3</v>
      </c>
    </row>
  </sheetData>
  <pageMargins left="0.7" right="0.7" top="0.75" bottom="0.75" header="0.3" footer="0.3"/>
  <pageSetup paperSize="9" orientation="portrait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12月发出商品明细</vt:lpstr>
      <vt:lpstr>1月 京东旗舰店明细</vt:lpstr>
      <vt:lpstr>1月 京东自营店明细</vt:lpstr>
      <vt:lpstr>pop仓运费</vt:lpstr>
      <vt:lpstr>12月京东自营店明细</vt:lpstr>
      <vt:lpstr>12月京东旗舰店明细</vt:lpstr>
      <vt:lpstr>11月京东自营库存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</cp:lastModifiedBy>
  <dcterms:created xsi:type="dcterms:W3CDTF">2023-05-12T11:15:00Z</dcterms:created>
  <dcterms:modified xsi:type="dcterms:W3CDTF">2024-04-10T09:35:22Z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KSOReadingLayout">
    <vt:bool>true</vt:bool>
  </property>
  <property fmtid="{D5CDD505-2E9C-101B-9397-08002B2CF9AE}" pid="4" name="ICV">
    <vt:lpwstr>313FABF3366C4F80BFD9654E558578C6_13</vt:lpwstr>
  </property>
</Properties>
</file>